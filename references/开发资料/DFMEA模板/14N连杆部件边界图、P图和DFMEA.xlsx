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mc:AlternateContent xmlns:mc="http://schemas.openxmlformats.org/markup-compatibility/2006">
    <mc:Choice Requires="x15">
      <x15ac:absPath xmlns:x15ac="http://schemas.microsoft.com/office/spreadsheetml/2010/11/ac" url="E:\A0_Projects\A1_Dynamics_Design_LM\mc-design\references\开发资料\DFMEA模板\"/>
    </mc:Choice>
  </mc:AlternateContent>
  <xr:revisionPtr revIDLastSave="0" documentId="8_{AFF9A31D-6ABD-4153-A921-479807E3D2EB}" xr6:coauthVersionLast="47" xr6:coauthVersionMax="47" xr10:uidLastSave="{00000000-0000-0000-0000-000000000000}"/>
  <bookViews>
    <workbookView xWindow="2798" yWindow="2152" windowWidth="16199" windowHeight="9308" tabRatio="789" firstSheet="5" activeTab="6" xr2:uid="{20790166-4A44-4478-A471-76673F3EF858}"/>
  </bookViews>
  <sheets>
    <sheet name="算分" sheetId="5" state="hidden" r:id="rId1"/>
    <sheet name="AP" sheetId="7" state="hidden" r:id="rId2"/>
    <sheet name="更改控制页 " sheetId="9" state="hidden" r:id="rId3"/>
    <sheet name="P图-0530" sheetId="13" state="hidden" r:id="rId4"/>
    <sheet name="DFMEA-0530" sheetId="14" state="hidden" r:id="rId5"/>
    <sheet name="边界图" sheetId="11" r:id="rId6"/>
    <sheet name="P图" sheetId="10" r:id="rId7"/>
    <sheet name="DFMEA" sheetId="12" r:id="rId8"/>
    <sheet name="严重度S" sheetId="15" r:id="rId9"/>
    <sheet name="频度O" sheetId="16" r:id="rId10"/>
    <sheet name="探测度D" sheetId="17" r:id="rId11"/>
  </sheets>
  <definedNames>
    <definedName name="_xlnm._FilterDatabase" localSheetId="7" hidden="1">DFMEA!$A$10:$AU$20</definedName>
    <definedName name="_xlnm._FilterDatabase" localSheetId="4" hidden="1">'DFMEA-0530'!$A$10:$AU$79</definedName>
    <definedName name="_xlnm._FilterDatabase" localSheetId="5" hidden="1">边界图!$A$2:$Q$19</definedName>
    <definedName name="_xlnm._FilterDatabase" localSheetId="0" hidden="1">算分!$A$12:$BJ$12</definedName>
    <definedName name="_xlnm.Print_Area" localSheetId="2">'更改控制页 '!$A$1:$G$36</definedName>
    <definedName name="_xlnm.Print_Titles" localSheetId="0">算分!$1:$12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 i="5" l="1"/>
  <c r="AD14" i="5"/>
  <c r="Q12" i="14" s="1"/>
  <c r="AD15" i="5"/>
  <c r="AD16" i="5"/>
  <c r="AD17" i="5"/>
  <c r="Q15" i="14" s="1"/>
  <c r="AD18" i="5"/>
  <c r="Q16" i="14" s="1"/>
  <c r="AD19" i="5"/>
  <c r="Q17" i="14" s="1"/>
  <c r="AD20" i="5"/>
  <c r="Q18" i="14" s="1"/>
  <c r="AD21" i="5"/>
  <c r="Q19" i="14" s="1"/>
  <c r="AD22" i="5"/>
  <c r="Q20" i="14" s="1"/>
  <c r="AD23" i="5"/>
  <c r="Q21" i="14" s="1"/>
  <c r="AD24" i="5"/>
  <c r="Q22" i="14" s="1"/>
  <c r="AD25" i="5"/>
  <c r="Q23" i="14" s="1"/>
  <c r="AD26" i="5"/>
  <c r="AD27" i="5"/>
  <c r="Q25" i="14" s="1"/>
  <c r="AD28" i="5"/>
  <c r="Q26" i="14" s="1"/>
  <c r="AD29" i="5"/>
  <c r="Q27" i="14" s="1"/>
  <c r="AD30" i="5"/>
  <c r="Q28" i="14" s="1"/>
  <c r="AD31" i="5"/>
  <c r="AD32" i="5"/>
  <c r="Q30" i="14" s="1"/>
  <c r="AD33" i="5"/>
  <c r="Q31" i="14" s="1"/>
  <c r="AD34" i="5"/>
  <c r="Q32" i="14" s="1"/>
  <c r="AD35" i="5"/>
  <c r="Q33" i="14" s="1"/>
  <c r="AD36" i="5"/>
  <c r="Q34" i="14" s="1"/>
  <c r="AD37" i="5"/>
  <c r="AD38" i="5"/>
  <c r="AD39" i="5"/>
  <c r="AD40" i="5"/>
  <c r="AD41" i="5"/>
  <c r="AD42" i="5"/>
  <c r="AD43" i="5"/>
  <c r="Q41" i="14" s="1"/>
  <c r="AD44" i="5"/>
  <c r="Q42" i="14" s="1"/>
  <c r="AD45" i="5"/>
  <c r="Q43" i="14" s="1"/>
  <c r="AD46" i="5"/>
  <c r="AD47" i="5"/>
  <c r="Q45" i="14" s="1"/>
  <c r="AD48" i="5"/>
  <c r="Q46" i="14" s="1"/>
  <c r="AD49" i="5"/>
  <c r="AD50" i="5"/>
  <c r="AD51" i="5"/>
  <c r="Q49" i="14" s="1"/>
  <c r="AD52" i="5"/>
  <c r="Q50" i="14" s="1"/>
  <c r="AD53" i="5"/>
  <c r="AD54" i="5"/>
  <c r="Q52" i="14" s="1"/>
  <c r="AD55" i="5"/>
  <c r="Q53" i="14" s="1"/>
  <c r="AD56" i="5"/>
  <c r="Q54" i="14" s="1"/>
  <c r="AD57" i="5"/>
  <c r="Q55" i="14" s="1"/>
  <c r="AD58" i="5"/>
  <c r="Q56" i="14" s="1"/>
  <c r="AD59" i="5"/>
  <c r="Q57" i="14" s="1"/>
  <c r="AD60" i="5"/>
  <c r="Q58" i="14"/>
  <c r="AD61" i="5"/>
  <c r="AD62" i="5"/>
  <c r="AD63" i="5"/>
  <c r="AD64" i="5"/>
  <c r="AD65" i="5"/>
  <c r="AD66" i="5"/>
  <c r="AD67" i="5"/>
  <c r="AD68" i="5"/>
  <c r="AD69" i="5"/>
  <c r="Q67" i="14" s="1"/>
  <c r="AD70" i="5"/>
  <c r="Q68" i="14" s="1"/>
  <c r="AD71" i="5"/>
  <c r="AD72" i="5"/>
  <c r="AD73" i="5"/>
  <c r="AD74" i="5"/>
  <c r="AD75" i="5"/>
  <c r="AD76" i="5"/>
  <c r="AD77" i="5"/>
  <c r="F29" i="9"/>
  <c r="Q11" i="14"/>
  <c r="Q13" i="14"/>
  <c r="Q14" i="14"/>
  <c r="Q24" i="14"/>
  <c r="Q29" i="14"/>
  <c r="Q35" i="14"/>
  <c r="Q36" i="14"/>
  <c r="Q37" i="14"/>
  <c r="Q38" i="14"/>
  <c r="Q39" i="14"/>
  <c r="Q40" i="14"/>
  <c r="Q44" i="14"/>
  <c r="Q47" i="14"/>
  <c r="Q48" i="14"/>
  <c r="Q51" i="14"/>
  <c r="Q59" i="14"/>
  <c r="Q60" i="14"/>
  <c r="Q61" i="14"/>
  <c r="Q62" i="14"/>
  <c r="Q63" i="14"/>
  <c r="Q64" i="14"/>
  <c r="Q65" i="14"/>
  <c r="Q66" i="14"/>
  <c r="Q6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tc={D72B6297-94A8-41B3-9430-5F8DC60AC2FF}</author>
    <author>tc={D75FF1C0-86B3-42E4-B566-CFE91F6742F8}</author>
    <author>tc={19060D60-86FC-4729-9262-67C2C5CD2B9C}</author>
    <author>tc={19FC6A2E-386E-4A3F-80CF-36908FF6A765}</author>
  </authors>
  <commentList>
    <comment ref="F4" authorId="0" shapeId="0" xr:uid="{9B485C94-A300-4B99-9A36-3DA779EDA29F}">
      <text>
        <r>
          <rPr>
            <sz val="11"/>
            <color theme="1"/>
            <rFont val="宋体"/>
            <charset val="134"/>
            <scheme val="minor"/>
          </rPr>
          <t>作者:
终端客户会直接体现负压吗，是否体现是节气门开度</t>
        </r>
      </text>
    </comment>
    <comment ref="H4" authorId="1" shapeId="0" xr:uid="{04989FAD-4EA5-4E08-99CC-82CAAF18890B}">
      <text>
        <r>
          <rPr>
            <sz val="11"/>
            <color theme="1"/>
            <rFont val="宋体"/>
            <charset val="134"/>
            <scheme val="minor"/>
          </rPr>
          <t>作者:
机油压力需要体现吗</t>
        </r>
      </text>
    </comment>
    <comment ref="H6" authorId="2" shapeId="0" xr:uid="{B625D94F-5A6D-4AC7-AB2B-25CDB85BDD15}">
      <text>
        <r>
          <rPr>
            <sz val="11"/>
            <color theme="1"/>
            <rFont val="宋体"/>
            <charset val="134"/>
            <scheme val="minor"/>
          </rPr>
          <t>作者:
1）为什么要分两条，最大扭矩不能覆盖最低扭矩吗
此时写的不是3mis，写的疲劳循环次数，但对于不确定的零件，写循环次数的，能否写出具体值</t>
        </r>
      </text>
    </comment>
    <comment ref="E8" authorId="3" shapeId="0" xr:uid="{C8854A14-3EB3-4B9F-8F62-3922B9898CF9}">
      <text>
        <r>
          <rPr>
            <sz val="11"/>
            <color theme="1"/>
            <rFont val="宋体"/>
            <charset val="134"/>
            <scheme val="minor"/>
          </rPr>
          <t>作者:
把以上的五个噪音全部重新体现一次？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tc={D72B6297-94A8-41B3-9430-5F8DC60AC2FF}</author>
    <author>tc={D75FF1C0-86B3-42E4-B566-CFE91F6742F8}</author>
    <author>tc={19060D60-86FC-4729-9262-67C2C5CD2B9C}</author>
    <author>tc={19FC6A2E-386E-4A3F-80CF-36908FF6A765}</author>
  </authors>
  <commentList>
    <comment ref="F4" authorId="0" shapeId="0" xr:uid="{C29BA5A8-9D10-4061-B024-F88650AD85CB}">
      <text>
        <r>
          <rPr>
            <sz val="11"/>
            <color theme="1"/>
            <rFont val="宋体"/>
            <charset val="134"/>
            <scheme val="minor"/>
          </rPr>
          <t>作者:
终端客户会直接体现负压吗，是否体现是节气门开度</t>
        </r>
      </text>
    </comment>
    <comment ref="H4" authorId="1" shapeId="0" xr:uid="{9A44019C-4810-42B9-B21F-91445E8927D0}">
      <text>
        <r>
          <rPr>
            <sz val="11"/>
            <color theme="1"/>
            <rFont val="宋体"/>
            <charset val="134"/>
            <scheme val="minor"/>
          </rPr>
          <t>作者:
机油压力需要体现吗</t>
        </r>
      </text>
    </comment>
    <comment ref="H6" authorId="2" shapeId="0" xr:uid="{59B93BF3-CCC5-4D25-8588-3DD6A308BBE9}">
      <text>
        <r>
          <rPr>
            <sz val="11"/>
            <color theme="1"/>
            <rFont val="宋体"/>
            <charset val="134"/>
            <scheme val="minor"/>
          </rPr>
          <t>作者:
1）为什么要分两条，最大扭矩不能覆盖最低扭矩吗
此时写的不是3mis，写的疲劳循环次数，但对于不确定的零件，写循环次数的，能否写出具体值</t>
        </r>
      </text>
    </comment>
    <comment ref="E8" authorId="3" shapeId="0" xr:uid="{5CC65731-7C3A-425E-B218-6B4577BFE306}">
      <text>
        <r>
          <rPr>
            <sz val="11"/>
            <color theme="1"/>
            <rFont val="宋体"/>
            <charset val="134"/>
            <scheme val="minor"/>
          </rPr>
          <t>作者:
把以上的五个噪音全部重新体现一次？</t>
        </r>
      </text>
    </comment>
  </commentList>
</comments>
</file>

<file path=xl/sharedStrings.xml><?xml version="1.0" encoding="utf-8"?>
<sst xmlns="http://schemas.openxmlformats.org/spreadsheetml/2006/main" count="1837" uniqueCount="784">
  <si>
    <r>
      <t xml:space="preserve">广西玉柴机器股份有限公司   </t>
    </r>
    <r>
      <rPr>
        <b/>
        <sz val="12"/>
        <rFont val="Constantia"/>
        <family val="1"/>
      </rPr>
      <t>Guangxi Yuchai Machinery Co.,Ltd.</t>
    </r>
  </si>
  <si>
    <t>记录编号：QM/YCF13-70-06-870</t>
  </si>
  <si>
    <t>潜在失效模式及后果分析</t>
  </si>
  <si>
    <t>公司名:</t>
  </si>
  <si>
    <t>广西玉柴机器股份有限公司</t>
  </si>
  <si>
    <t>产品系列代号:</t>
  </si>
  <si>
    <t>K11</t>
  </si>
  <si>
    <t>项目:</t>
  </si>
  <si>
    <t>2023K11DSKQG6010/K11国六高效版起重机</t>
  </si>
  <si>
    <t>-</t>
  </si>
  <si>
    <t>DFMEA</t>
  </si>
  <si>
    <t>01</t>
  </si>
  <si>
    <t>DFMEA编号：</t>
  </si>
  <si>
    <t>工厂地址:</t>
  </si>
  <si>
    <t>广西玉林市天桥西路88号</t>
  </si>
  <si>
    <t>子系统名称：</t>
  </si>
  <si>
    <t>热动子系统</t>
  </si>
  <si>
    <t>DFMEA开始日期:</t>
  </si>
  <si>
    <t>设计负责人：</t>
  </si>
  <si>
    <t>韦良锦</t>
  </si>
  <si>
    <t>客户名:</t>
  </si>
  <si>
    <t>东风柳州汽车有限公司</t>
  </si>
  <si>
    <t>零件名称：</t>
  </si>
  <si>
    <t>活塞环组件</t>
  </si>
  <si>
    <t>DFMEA 修订日期:</t>
  </si>
  <si>
    <t>/</t>
  </si>
  <si>
    <t>保密等级：</t>
  </si>
  <si>
    <t>秘密</t>
  </si>
  <si>
    <t>车型/ 年 / 平台</t>
  </si>
  <si>
    <t>起重机/2023/K</t>
  </si>
  <si>
    <t>零件代号：</t>
  </si>
  <si>
    <t>K11-1004040-02SF9</t>
  </si>
  <si>
    <t>跨职能团队：</t>
  </si>
  <si>
    <t>何哲易（设计）、韦良锦（设计）、周磊磊（系统）、张锦（设计）、伍平铅（测试）</t>
  </si>
  <si>
    <t>背景介绍：</t>
  </si>
  <si>
    <t>K11-1004040-02SF8基础上改一环梯角和三环弹力</t>
  </si>
  <si>
    <t>结构分析</t>
  </si>
  <si>
    <t>功能分析</t>
  </si>
  <si>
    <t>失效分析</t>
  </si>
  <si>
    <t>风险分析</t>
  </si>
  <si>
    <t>优化</t>
  </si>
  <si>
    <t>1.上一高层级名称</t>
  </si>
  <si>
    <t>2.聚焦要素名称</t>
  </si>
  <si>
    <t>3.下一较低级别或特性类型</t>
  </si>
  <si>
    <t>1.上一高层级功能及要求</t>
  </si>
  <si>
    <t>2. 关注要素功能及要求</t>
  </si>
  <si>
    <t>3.下一低层级的功能及要求或特性</t>
  </si>
  <si>
    <t>1.对于上一高层级要素或最终用户的失效影响(FE)</t>
  </si>
  <si>
    <t>严重度S</t>
  </si>
  <si>
    <t>2.关注要素的失效模式(FM)</t>
  </si>
  <si>
    <t>3. 下一低层级要素或特性的失效原因(FC)</t>
  </si>
  <si>
    <t>FC的当前预防控制 (PC)</t>
  </si>
  <si>
    <t>FC的频度(O)</t>
  </si>
  <si>
    <t>FC或FM的当前探测控制 (DC)</t>
  </si>
  <si>
    <t xml:space="preserve">FCFM探测度(D) </t>
  </si>
  <si>
    <t>AP</t>
  </si>
  <si>
    <t>过滤码
(可选)</t>
  </si>
  <si>
    <t>预防措施</t>
  </si>
  <si>
    <t>探测措施</t>
  </si>
  <si>
    <t>责任人</t>
  </si>
  <si>
    <t>目标完成时间</t>
  </si>
  <si>
    <t>状态:
[原样, 考虑中, 进行中, 完成, 取消]</t>
  </si>
  <si>
    <t>采取行动的证据</t>
  </si>
  <si>
    <t>完成日期</t>
  </si>
  <si>
    <t>严重度 (S)</t>
  </si>
  <si>
    <t>频度 (O)</t>
  </si>
  <si>
    <t>探测度(D)</t>
  </si>
  <si>
    <t>曲柄连杆模块</t>
  </si>
  <si>
    <t>环体</t>
  </si>
  <si>
    <t>将活塞往复
运动转化为
旋转运动</t>
  </si>
  <si>
    <t>1、控制气缸壁油膜厚度
2、密封高压气体进入曲轴箱
3、传递活塞环区热量给气缸套
4、给活塞支撑导向作用</t>
  </si>
  <si>
    <t>从活塞传递热量给气缸套；支撑活塞</t>
  </si>
  <si>
    <t>拉缸</t>
  </si>
  <si>
    <t>断裂</t>
  </si>
  <si>
    <t>材料选择不当</t>
  </si>
  <si>
    <t>活塞燃烧室的尺寸、形状轮廓不符合输入要求，容积不满足47.25±0.8mL要求</t>
  </si>
  <si>
    <t>2</t>
  </si>
  <si>
    <t>设计三维测量校准燃烧室容积满足47.25±0.8mL</t>
  </si>
  <si>
    <t>L</t>
  </si>
  <si>
    <t>活塞环上下表面</t>
  </si>
  <si>
    <t>与活塞环槽表面贴合；承载环区空间气压</t>
  </si>
  <si>
    <t>卡环</t>
  </si>
  <si>
    <t>开口间隙：一环＜0.25；二环＜0.6，三环＜0.25
侧隙:一环＜0.07；二环＜0.07，三环＜0.035</t>
  </si>
  <si>
    <t>活塞结构设计安全系数＜1.2</t>
  </si>
  <si>
    <t>1、设计阶段活塞CAE结构强度分析安全系数≥1.2
2、活塞单体疲劳试验</t>
  </si>
  <si>
    <t>高分</t>
  </si>
  <si>
    <t>机油耗高</t>
  </si>
  <si>
    <t>窜机油</t>
  </si>
  <si>
    <t>侧隙mm：一环＞0.12；二环＞0.11，三环＞0.075
表面粗糙度＞Rz4</t>
  </si>
  <si>
    <t>活塞外径大于109.89±0.009，导致拉缸</t>
  </si>
  <si>
    <t>活塞外径满足109.89±0.009</t>
  </si>
  <si>
    <t>怠速时缸内＜-30Kpa</t>
  </si>
  <si>
    <t>1、活塞环组件与活塞轴向间隙控制不满足要求mm：气环：0.12±0.02、刮油环：0.08±0.02、油环部件：0.05±0.02；导致卡环</t>
  </si>
  <si>
    <t>1、活塞环组件与活塞轴向间隙控制mm：气环：0.12±0.02、刮油环：0.08±0.02、油环部件：0.05±0.02</t>
  </si>
  <si>
    <t>环内侧边缘有毛刺</t>
  </si>
  <si>
    <t>活塞清洁度＞24mg，清洁度控制问题导致拉缸</t>
  </si>
  <si>
    <r>
      <rPr>
        <sz val="9"/>
        <rFont val="宋体"/>
        <charset val="134"/>
      </rPr>
      <t>图纸按</t>
    </r>
    <r>
      <rPr>
        <sz val="9"/>
        <rFont val="Arial"/>
        <family val="2"/>
      </rPr>
      <t xml:space="preserve">Q/YC 11 </t>
    </r>
    <r>
      <rPr>
        <sz val="9"/>
        <rFont val="宋体"/>
        <charset val="134"/>
      </rPr>
      <t>清洁度要求执行</t>
    </r>
  </si>
  <si>
    <t>活塞环外表面</t>
  </si>
  <si>
    <t>与缸套表面、活塞环槽表面贴合</t>
  </si>
  <si>
    <t>磨损</t>
  </si>
  <si>
    <t>面压不足：MPa
一环：＜0.16～0.21
二环：＜0.13～0.19
油环：＜1.33～1.75</t>
  </si>
  <si>
    <t>活塞销孔直径＜46.007，导致活塞销和销孔卡死</t>
  </si>
  <si>
    <r>
      <rPr>
        <sz val="9"/>
        <rFont val="宋体"/>
        <charset val="134"/>
      </rPr>
      <t>按</t>
    </r>
    <r>
      <rPr>
        <sz val="9"/>
        <rFont val="Arial"/>
        <family val="2"/>
      </rPr>
      <t>Q/YC 2511</t>
    </r>
    <r>
      <rPr>
        <sz val="9"/>
        <rFont val="宋体"/>
        <charset val="134"/>
      </rPr>
      <t>《曲柄连杆系统开发规范》控制间隙</t>
    </r>
  </si>
  <si>
    <t>涂层耐磨性不足</t>
  </si>
  <si>
    <t>活塞销安全系数＜1.2，导致活塞销断裂</t>
  </si>
  <si>
    <t>设计阶段活塞销CAE结构强度分析安全系数≥1.2</t>
  </si>
  <si>
    <t>开口处</t>
  </si>
  <si>
    <t>防止环受热膨胀顶死</t>
  </si>
  <si>
    <t>活塞清洁度＞24mg，导致活塞销拉伤抱死</t>
  </si>
  <si>
    <t>连杆部件整体安全系数小于1.2，导致连杆断裂</t>
  </si>
  <si>
    <t>设计阶段连杆部件CAE结构强度分析安全系数≥1.2</t>
  </si>
  <si>
    <t>连杆部件衬套内径衬套内孔直径＜46.023</t>
  </si>
  <si>
    <t>连杆部件洁度＞108mg，导致轴瓦拉伤抱死</t>
  </si>
  <si>
    <t>CAE计算曲轴圆角强度安全系数＜1.2，导致曲轴断裂</t>
  </si>
  <si>
    <r>
      <t>1</t>
    </r>
    <r>
      <rPr>
        <sz val="9"/>
        <rFont val="宋体"/>
        <charset val="134"/>
      </rPr>
      <t>、曲轴材料选择</t>
    </r>
    <r>
      <rPr>
        <sz val="9"/>
        <rFont val="Arial"/>
        <family val="2"/>
      </rPr>
      <t>42CrMo</t>
    </r>
    <r>
      <rPr>
        <sz val="9"/>
        <rFont val="宋体"/>
        <charset val="134"/>
      </rPr>
      <t>；</t>
    </r>
    <r>
      <rPr>
        <sz val="9"/>
        <rFont val="Arial"/>
        <family val="2"/>
      </rPr>
      <t>2</t>
    </r>
    <r>
      <rPr>
        <sz val="9"/>
        <rFont val="宋体"/>
        <charset val="134"/>
      </rPr>
      <t>、</t>
    </r>
    <r>
      <rPr>
        <sz val="9"/>
        <rFont val="Arial"/>
        <family val="2"/>
      </rPr>
      <t>CAE</t>
    </r>
    <r>
      <rPr>
        <sz val="9"/>
        <rFont val="宋体"/>
        <charset val="134"/>
      </rPr>
      <t>计算曲轴圆角强度安全系数≥</t>
    </r>
    <r>
      <rPr>
        <sz val="9"/>
        <rFont val="Arial"/>
        <family val="2"/>
      </rPr>
      <t>1.2</t>
    </r>
  </si>
  <si>
    <t>曲轴颗粒度＞600μm，杂质质量＞30mg；导致烧瓦</t>
  </si>
  <si>
    <t>曲轴轴颈未淬火
或硬度不在53-59HRC范围；导致曲轴磨损，烧瓦</t>
  </si>
  <si>
    <t>按曲轴设计规范</t>
  </si>
  <si>
    <t>轴瓦內圆表面硬度＜70Hv5，轴瓦磨损甚至烧瓦；</t>
  </si>
  <si>
    <t>按轴瓦设计规范控制硬度</t>
  </si>
  <si>
    <t>轴瓦厚度＞2.48，导致曲轴和轴瓦间隙小，油膜不足，烧瓦</t>
  </si>
  <si>
    <t>按Q/YC 2511《曲柄连杆系统开发规范》控制间隙</t>
  </si>
  <si>
    <t>主轴瓦清洁度控制：颗粒度＞600μm，杂质质量＞19.2mg；</t>
  </si>
  <si>
    <t>主轴瓦受到的面压＞60MPa</t>
  </si>
  <si>
    <t>仿真计算主轴瓦受到的面压控制＜60MPa</t>
  </si>
  <si>
    <t>上连杆轴瓦受到的面压＞90MPa</t>
  </si>
  <si>
    <t>仿真计算上连杆轴瓦受到的面压＜90MPa</t>
  </si>
  <si>
    <t>曲柄连杆模块总12mis＞1070ppm</t>
  </si>
  <si>
    <t>轴瓦厚度＞：2.816，导致曲轴和轴瓦间隙小，油膜不足，烧瓦</t>
  </si>
  <si>
    <t>轴瓦清洁度控制：颗粒度＞600μm，杂质质量＞19.2mg；</t>
  </si>
  <si>
    <t>曲轴止推片清洁度控制：颗粒度＞600μm，杂质质量＜2mg；</t>
  </si>
  <si>
    <t>曲柄连杆模块止推面压＞2.5MPa；</t>
  </si>
  <si>
    <t>仿真计算止推面压实际控制＜2.5MPa；</t>
  </si>
  <si>
    <t>曲柄连杆模块止推片常用转速线速度＞15m/s</t>
  </si>
  <si>
    <t>曲柄连杆模块止推片常用转速线速度控制＜15m/s</t>
  </si>
  <si>
    <t>活塞环总弹力系数＞0.75N/mm，运动副表面粗糙度＞Rz4</t>
  </si>
  <si>
    <t>设计阶段校准总弹力系数＜0.75N/mm，校准表面粗糙度＜Rz4</t>
  </si>
  <si>
    <t>轴瓦內圆表面粗糙度＞Rz8；</t>
  </si>
  <si>
    <t>按轴瓦设计规范控制粗糙度</t>
  </si>
  <si>
    <t>活塞环与第一环槽梯角不满足±13′</t>
  </si>
  <si>
    <t>活塞环梯角设计校核满足
±13′</t>
  </si>
  <si>
    <t>活塞环与环槽配合面形位公差与粗糙度：跳动度＞0.05，周向直线度＞0.015，粗糙度＞Rz4</t>
  </si>
  <si>
    <t>活塞环与活塞的形位公差设计校核满足要求：跳动度≤0.05，周向直线度≤0.015，粗糙度≤Rz4</t>
  </si>
  <si>
    <t>活塞环总弹力系数＜75N/mm</t>
  </si>
  <si>
    <t>活塞环总弹力系数设计校核满足≥75N/mm</t>
  </si>
  <si>
    <t>活塞环与活塞的轴向间隙不满足要求mm：气环：0.12±0.02、刮油环：0.08±0.02、油环部件：0.05±0.02</t>
  </si>
  <si>
    <t>活塞环轴向间隙设计校核满足mm：气环：0.12±0.02、刮油环：0.08±0.02、油环部件：0.05±0.02</t>
  </si>
  <si>
    <t>活塞环组件闭口间隙通路面积＞1.52mm^2</t>
  </si>
  <si>
    <t>活塞环组件闭口间隙通路面积设计校核满足1.14~1.52mm^2</t>
  </si>
  <si>
    <t>活塞环组件表面硬度不满足800-1000HV</t>
  </si>
  <si>
    <t>活塞环组件表面硬度设计校核满足800-1000HV</t>
  </si>
  <si>
    <t>止推面压＞2.5MPa；</t>
  </si>
  <si>
    <t>仿真计算止推面压核算≤2.5MPa</t>
  </si>
  <si>
    <t>曲轴设计强度安全系数＜1.2</t>
  </si>
  <si>
    <t>曲轴材料结构选型不合理，曲轴刚度不足，单阶扭振幅值＞0.2deg或合成阶扭振幅值＞0.5deg；</t>
  </si>
  <si>
    <r>
      <t>CAE</t>
    </r>
    <r>
      <rPr>
        <sz val="9"/>
        <rFont val="宋体"/>
        <charset val="134"/>
      </rPr>
      <t>计算曲轴扭振幅值，单阶扭振幅值＜</t>
    </r>
    <r>
      <rPr>
        <sz val="9"/>
        <rFont val="Arial"/>
        <family val="2"/>
      </rPr>
      <t>0.2deg</t>
    </r>
    <r>
      <rPr>
        <sz val="9"/>
        <rFont val="宋体"/>
        <charset val="134"/>
      </rPr>
      <t>，合成阶扭振幅值＜</t>
    </r>
    <r>
      <rPr>
        <sz val="9"/>
        <rFont val="Arial"/>
        <family val="2"/>
      </rPr>
      <t>0.5deg</t>
    </r>
  </si>
  <si>
    <t>活塞外径超差，不满足109.89±0.009</t>
  </si>
  <si>
    <t>设计校核活塞外径满足109.89±0.009</t>
  </si>
  <si>
    <r>
      <rPr>
        <sz val="9"/>
        <color indexed="8"/>
        <rFont val="宋体"/>
        <charset val="134"/>
      </rPr>
      <t>活塞进油口位置偏离与缸中心距离</t>
    </r>
    <r>
      <rPr>
        <sz val="9"/>
        <color indexed="8"/>
        <rFont val="Arial"/>
        <family val="2"/>
      </rPr>
      <t>36X21.35</t>
    </r>
    <r>
      <rPr>
        <sz val="9"/>
        <color indexed="8"/>
        <rFont val="宋体"/>
        <charset val="134"/>
      </rPr>
      <t>的位置</t>
    </r>
  </si>
  <si>
    <t>设计校核活塞进油口位置与缸中心距离36X21.35</t>
  </si>
  <si>
    <r>
      <rPr>
        <sz val="9"/>
        <color indexed="8"/>
        <rFont val="宋体"/>
        <charset val="134"/>
      </rPr>
      <t>活塞</t>
    </r>
    <r>
      <rPr>
        <sz val="9"/>
        <color indexed="8"/>
        <rFont val="宋体"/>
        <charset val="134"/>
      </rPr>
      <t>与喷嘴间隙＜</t>
    </r>
    <r>
      <rPr>
        <sz val="9"/>
        <color indexed="8"/>
        <rFont val="Arial"/>
        <family val="2"/>
      </rPr>
      <t>3</t>
    </r>
  </si>
  <si>
    <t>设计校核活塞与喷嘴间隙＞3</t>
  </si>
  <si>
    <r>
      <rPr>
        <sz val="9"/>
        <color indexed="8"/>
        <rFont val="宋体"/>
        <charset val="134"/>
      </rPr>
      <t>活塞提供气门让位避让空间（气门间隙）失效：进气门＜</t>
    </r>
    <r>
      <rPr>
        <sz val="9"/>
        <color indexed="8"/>
        <rFont val="Arial"/>
        <family val="2"/>
      </rPr>
      <t>1</t>
    </r>
    <r>
      <rPr>
        <sz val="9"/>
        <color indexed="8"/>
        <rFont val="宋体"/>
        <charset val="134"/>
      </rPr>
      <t>或直径＜</t>
    </r>
    <r>
      <rPr>
        <sz val="9"/>
        <color indexed="8"/>
        <rFont val="Arial"/>
        <family val="2"/>
      </rPr>
      <t>38.5</t>
    </r>
    <r>
      <rPr>
        <sz val="9"/>
        <color indexed="8"/>
        <rFont val="宋体"/>
        <charset val="134"/>
      </rPr>
      <t>或排气门＜</t>
    </r>
    <r>
      <rPr>
        <sz val="9"/>
        <color indexed="8"/>
        <rFont val="Arial"/>
        <family val="2"/>
      </rPr>
      <t>2.3</t>
    </r>
    <r>
      <rPr>
        <sz val="9"/>
        <color indexed="8"/>
        <rFont val="宋体"/>
        <charset val="134"/>
      </rPr>
      <t>或直径＜</t>
    </r>
    <r>
      <rPr>
        <sz val="9"/>
        <color indexed="8"/>
        <rFont val="Arial"/>
        <family val="2"/>
      </rPr>
      <t>35.5</t>
    </r>
  </si>
  <si>
    <t>设计校核活塞提供气门让位避让空间（气门间隙）满足：进气门1，直径38.5，排气门2.3，直径35.5</t>
  </si>
  <si>
    <t>曲轴的8XM16X70螺纹孔匹配不上飞轮螺栓；</t>
  </si>
  <si>
    <t>校核装配模型</t>
  </si>
  <si>
    <t>曲轴的6XM14X34.5螺纹孔匹配不上减振器安装螺栓；</t>
  </si>
  <si>
    <t>曲轴一缸上止点未与销钉对齐；</t>
  </si>
  <si>
    <t>曲轴接触外径：85（-0.035,0）公差超下限</t>
  </si>
  <si>
    <t>过盈量校核计算</t>
  </si>
  <si>
    <t>1、曲轴小头前端的粗糙度控制带长度＜9mm；
2、粗糙度控制要求＜Ra1.6；</t>
  </si>
  <si>
    <t>图纸控制尺寸、粗糙度</t>
  </si>
  <si>
    <t>机体和轴瓦过盈量≤-0.12mm，轴瓦跟转</t>
  </si>
  <si>
    <t>安装尺寸链计算(FC); 
K082101000-5004-2022-01/01-K082101000机型主轴瓦EHD分析(FC)</t>
  </si>
  <si>
    <t>1、止推片结构设计选型不合理；
2、止推片厚度＜2.5；</t>
  </si>
  <si>
    <t>尺寸链校核曲轴轴向窜动间隙</t>
  </si>
  <si>
    <t>曲轴曲柄臂位置与喷嘴间隙＜3</t>
  </si>
  <si>
    <t>1、校核装配模型；
2、控制曲柄臂外径尺寸公差；</t>
  </si>
  <si>
    <t>曲轴选型设计错误</t>
  </si>
  <si>
    <t>校核曲轴模型</t>
  </si>
  <si>
    <t>曲轴螺栓孔选型设计错误</t>
  </si>
  <si>
    <t>曲轴的正时信号定位销孔设计不合理</t>
  </si>
  <si>
    <t>FMEA-AP</t>
  </si>
  <si>
    <t>S</t>
  </si>
  <si>
    <t xml:space="preserve">     D
  O</t>
  </si>
  <si>
    <t>9-10</t>
  </si>
  <si>
    <t>M</t>
  </si>
  <si>
    <t>H</t>
  </si>
  <si>
    <t>7-8</t>
  </si>
  <si>
    <t>4-6</t>
  </si>
  <si>
    <t>2-3</t>
  </si>
  <si>
    <t>注：当S=1时，全部为L级别</t>
  </si>
  <si>
    <r>
      <t>记录编号：QM/YCF13-70-0</t>
    </r>
    <r>
      <rPr>
        <sz val="10"/>
        <rFont val="宋体"/>
        <charset val="134"/>
      </rPr>
      <t>1</t>
    </r>
    <r>
      <rPr>
        <sz val="10"/>
        <rFont val="宋体"/>
        <charset val="134"/>
      </rPr>
      <t>-870</t>
    </r>
  </si>
  <si>
    <t>更改控制页</t>
  </si>
  <si>
    <t>序号</t>
  </si>
  <si>
    <t>修订项</t>
  </si>
  <si>
    <t>修订前内容</t>
  </si>
  <si>
    <t>修订后内容</t>
  </si>
  <si>
    <t>修订人</t>
  </si>
  <si>
    <t>批准人</t>
  </si>
  <si>
    <t>修订时间</t>
  </si>
  <si>
    <t>无</t>
  </si>
  <si>
    <t>步骤三    P图</t>
  </si>
  <si>
    <t>噪音</t>
  </si>
  <si>
    <t>噪音1：子系统间的变化，零件加工的差异（a、子系统输出偏差对系统的影响；b、接口偏差产生的影响；c、影响一致性的参数，制造装配的影响，识别生产加工的能力，如果能力不足要在图纸上进行补偿补充；d、出现过问题的需要优先）（供应商取水平最低的）
标准需要和生产确认是否符合，不符合按实际生产填写，不满足按过渡标准执行；-需要识别参数对功能的影响</t>
  </si>
  <si>
    <t>噪音2</t>
  </si>
  <si>
    <t>噪音3</t>
  </si>
  <si>
    <t>噪音4</t>
  </si>
  <si>
    <t>噪音5</t>
  </si>
  <si>
    <t>个体化差异（生产控制的差异）</t>
  </si>
  <si>
    <t>随时间变化（80万公里）</t>
  </si>
  <si>
    <t>顾客使用</t>
  </si>
  <si>
    <t>外部环境</t>
  </si>
  <si>
    <t>系统交互作用（其他子系统不利的因素）</t>
  </si>
  <si>
    <t xml:space="preserve">1、影响动力性：
曲柄连杆模块压缩比偏差±0.1
2、影响经济性/摩擦功：
1）（活塞环组件）总弹力系数：0.75N/mm
2）曲柄连杆模块运动副表面摩擦系数≤0.1
3、影响机油耗与窜气量：
1）曲柄连杆模块（活塞）外圆摩擦副型线±0.015；
2）曲柄连杆模块（活塞环与活塞第一环槽）梯角配合控制：±13′
3）曲柄连杆模块（活塞与活塞环组件轴向）间隙控制mm：气环：0.12±0.02、刮油环：0.08±0.02、油环部件：0.05±0.02
4）曲柄连杆模块（活塞环组件闭口间隙）通路面积：1.14~1.52mm^2
5）曲柄连杆模块（活塞与活塞环组）配合面平行度：0.05
</t>
  </si>
  <si>
    <r>
      <t>1、运动副随时间磨损：
轴瓦和曲轴的间隙磨损≤1μm/100h，
曲柄连杆模块的的曲轴组件（止推片）铝合金层磨损速率≤20μm/100h
4、曲柄连杆模块的（活塞）积碳量速率≤</t>
    </r>
    <r>
      <rPr>
        <sz val="12"/>
        <color indexed="13"/>
        <rFont val="宋体"/>
        <charset val="134"/>
      </rPr>
      <t>TBD</t>
    </r>
    <r>
      <rPr>
        <sz val="12"/>
        <color indexed="8"/>
        <rFont val="宋体"/>
        <charset val="134"/>
      </rPr>
      <t xml:space="preserve">
</t>
    </r>
  </si>
  <si>
    <t xml:space="preserve">1、在节气门后压力≥-28kPa，（-20~-10）kpa工况占比≤18%，（-00~-10）kpa工况占比≤21%，正压占比≥60%
2、频繁离合冲击、频繁启停（2次/min或10万/3
3、低档下坡发动机超速：2860rpm/30min，3300rpm/10s
4、燃油品质含硫量50ppm，含水量＞300ppm,颗粒度 ＞19级@14μm（c）＞23级@6μm（c）＞24级@4μm（c）
</t>
  </si>
  <si>
    <t xml:space="preserve">1、温度最低-35℃、最高温度50℃、湿度75%（96h盐雾试验合格）
</t>
  </si>
  <si>
    <t>1、燃烧子系统对曲柄连杆模块的活塞顶面热流量（5.3kw、气体爆压≤210bar、燃烧物成分中酸、水对活塞的腐蚀（腐蚀量化TBD）；
2、动力输出系统对曲柄连杆模块（曲轴及止推片）的轴向冲击作用最大9600N；
3、燃烧子系统缸内压力缸内负压最大-28kPa,占比≤39%，对曲柄连杆模块的（活塞环与活塞环槽）密封性能负面影响；
4、润滑子系统清洁度对曲柄连杆模块（轴瓦表面工作质量）的影响：颗粒度600μm，杂质质量202.6mg；
5、流量波动：不同转速下润滑油（喷嘴）最大流量4.8L/min，最小机油压力150kPa@800r/min、250kPa@1200r/min、400kPa@2200r/min（参考K8-1302-2018-02）；
6、曲通子系统空滤过滤效率最小99.7%时，空气清洁度对对曲柄连杆模块（活塞环）运动副的磨损影响：TBD
7、整机框架子系统（缸套）对曲柄连杆模块（活塞环）的冷却影响：TBD</t>
  </si>
  <si>
    <t>输入</t>
  </si>
  <si>
    <t>系统或项目</t>
  </si>
  <si>
    <t>预期输出</t>
  </si>
  <si>
    <t>工作输入：
1、缸内最大爆压210bar（缸内压力曲线）
2、活塞顶面热流量5.3kw（缸内温度曲线、缸内传热系数曲线）</t>
  </si>
  <si>
    <t>1、均匀稳定输出功率和扭矩：
1.1、 最大功率257kw/2200(r/min)
1.2、均匀稳定输出最大扭矩：
最大扭矩1500N.m@(1200~1600)r/min
2、机械转化效率≥98.58%。</t>
  </si>
  <si>
    <t>功能</t>
  </si>
  <si>
    <t>功能性要求</t>
  </si>
  <si>
    <t>控制因素</t>
  </si>
  <si>
    <t>非功能要求</t>
  </si>
  <si>
    <t>非预期输出</t>
  </si>
  <si>
    <t xml:space="preserve">将燃烧产生的爆压压力通过活塞往复运动转化为曲轴旋转运动对外输出功率和扭矩
</t>
  </si>
  <si>
    <t>1、输出扭矩和功率：最大扭矩1500N.m@(1200~1600)r/min；低速扭矩≥1000N.m@800r/min；最大功率257kw/2200(r/min)；2、满足10^7循环次数使用要求。；3在全寿命周期内和额定转速条件下输出扭矩和功率变化量≤0.5%；4、标定点摩擦功≤3.7kw。</t>
  </si>
  <si>
    <t>1、输出扭矩和功率：最大扭矩1500N.m@(1200~1600)r/min；低速扭矩≥1000N.m@800r/min；最大功率257kw/2200(r/min)；
2、转化效率98.58%。</t>
  </si>
  <si>
    <t>主要功能：
1、曲柄连杆模块提供燃烧初始压力,压缩比19.3
2、摩擦功：曲柄连杆模块标定点≤3.7kW；BTE点≤1.7kW。</t>
  </si>
  <si>
    <t xml:space="preserve">1、热动子系统内部模块接口
1.1 曲轴连杆模块和飞轮及齿圈模块接口：8XM16X70
</t>
  </si>
  <si>
    <t>1、NVH：扭转振幅：单阶≤0.2 deg，合成阶≤0.5deg
2、最大瞬间扭矩：6530N.m
3、机油消耗：
①全速全负荷机油消耗率0.06~0.12（g/ kW·h），2000h耐久后≤0.15（g/ kW·h）；
②在节气门后压力≥-28kPa，（-20~-10）kpa工况占比≤18%，（-00~-10）kpa工况占比≤21%，正压占比≥60%：48h模拟路谱工况机燃比：≤0.11% ；
③实际道路40000km≤0.06%；
4、可靠性前标定点活塞漏气量(50~120)L/min，可靠性后＜130)L/min；
5、摩擦功在标定点≤3.7kW；BTE点≤1.7kW。</t>
  </si>
  <si>
    <t>各种怠速/低速负压混合工况下的路谱机燃比≤0.3%（任务书暂无定义，暂按目前市场可接受程度）</t>
  </si>
  <si>
    <t>噪音1：
1、曲柄连杆模块（活塞燃烧室）容积（±0.8mL)、死区容积：-1.45~1.45mL
2、1）曲柄连杆模块（活塞环组件）总弹力系数：0.75N/mm；2）运动副表面粗糙度Rz4
3、1）曲柄连杆模块（活塞）摩擦副外圆型线±0.015，运动副外圆面压≤40MPa
2）曲柄连杆模块（活塞与活塞环）梯角配合控制：±13′
3）曲柄连杆模块间隙（活塞与活塞环）公差控制：0.05mm
4）曲柄连杆模块（活塞环组件闭口间隙）通路面积：1.14~1.52mm^2
5）曲柄连杆模块(活塞与活塞环组件）配合面形位要求与粗糙度：跳动度0.05，周向直线度0.015，粗糙度Rz4</t>
  </si>
  <si>
    <t>1、热动子系统内部模块接口
1.2 曲轴连杆模块和减振器模块接口：①6XM14X34.5；②一缸上止点和销钉朝上对齐</t>
  </si>
  <si>
    <t>噪音2：
1、①曲柄连杆模块的（曲轴颈）硬度53-59HRC，轴瓦硬度＞70Hv5，轴瓦摩擦系数0.026；
②曲柄连杆模块止推片铝合金层摩擦系数0.026；
2、曲柄连杆模块（活塞第一环槽）温度≤260℃；</t>
  </si>
  <si>
    <t>1、热动子系统内部模块接口
1.3 曲轴连杆模块和油封模块接口：过盈量0.23，曲轴接触外径：85（-0.035,0），粗糙度控制带长度9mm</t>
  </si>
  <si>
    <t>噪音3：
1、曲柄连杆模块（活塞环与活塞第一环槽）梯角配合控制：±13′、曲柄连杆模块（活塞环槽与活塞环）配合面形位要求与粗糙度：跳动度0.05，周向直线度0.015，粗糙度Rz4；（活塞环）总弹力系数：0.75N/mm；曲柄连杆模块（活塞与活塞环组件轴向）间隙控制mm：气环：0.12±0.02、刮油环：0.08±0.02、油环部件：0.05±0.02；曲柄连杆模块通路面积：1.14~1.52mm^2；
2、曲柄连杆模块止推承压能力≥2.5MPa；
3、曲柄连杆模块（连杆部件的大头）运动副变形量≤0.0192mm；
4、针对使用劣质燃油导致的活塞环腐蚀：曲柄连杆模块的活塞和活塞环组件表面增加磷化处理。</t>
  </si>
  <si>
    <t xml:space="preserve">2、热动子系统分解给曲柄连杆模块的接口需求
（1）曲柄连杆模块提供物理连接面1（轴瓦与机体）：直径93，宽度30.5，唇口宽度3.6，凸出量1.4，高度5
（2）曲柄连杆模块提供物理连接面2（止推片与机体）：外径124，厚度2.5
（3)曲柄连杆模块提供物理连接面3（活塞与机体）：外径109.89±0.009，高度110
（4）缸心距128
</t>
  </si>
  <si>
    <t>噪音4：
无</t>
  </si>
  <si>
    <t>噪音5：
1、曲柄连杆模块温度场喉口温度≤360℃，火力岸≤280℃；疲劳安全系数≥1.2；
2、曲柄连杆模块（止推片）止推承压能力＞2.5MPa；
3、曲柄连杆模块（活塞环与活塞第一环槽）梯角配合控制：±13′、曲柄连杆模块（活塞环槽与活塞环）配合面形位要求与粗糙度：跳动度0.05，周向直线度0.015，粗糙度Rz4；（活塞环组件）总弹力系数：0.75N/mm；曲柄连杆模块（活塞与活塞环组件轴向）间隙控制mm：气环：0.12±0.02、刮油环：0.08±0.02、油环部件：0.05±0.02；曲柄连杆模块通路面积：1.14~1.52mm^2；
4、曲柄连杆模块清洁度控制：颗粒度≤600μm，杂质质量≤202.6mg（曲轴＜30，活塞＜24，主轴瓦＜19.2，连杆轴瓦：12.4，连杆部件＜108，活塞销＜9）
5、曲柄连杆模块（活塞）进油孔位置精度±0.5，曲轴连杆模块轴瓦内径间隙控制mm：0.024~0.088；
6、曲柄连杆模块（活塞环组件）：表面硬度800-1000HV；
7、曲柄连杆模块（活塞第一环槽位置）：12.12mm（低于水套高度）</t>
  </si>
  <si>
    <t>2、热动子系统分解给曲柄连杆模块的接口需求
  与润滑子系统的接口
 曲柄连杆模块在进气侧提供与缸中心距离36X21.35的进油孔接口，同时给喷嘴提供＞3避让空间</t>
  </si>
  <si>
    <t xml:space="preserve">非预期输出：
1、曲柄连杆模块不平衡量60g•cm（其中曲轴＜30，飞轮＜25），活塞连杆总成重量差＜30g，扭转振幅：单阶≤0.2 deg，合成阶≤0.5deg；
2、①曲柄连杆模块（活塞环组件）总弹力系数：0.75N/mm；
②曲柄连杆模块（活塞环与活塞第一环槽）梯角配合控制：±13′、曲柄连杆模块（活塞环槽与活塞环）配合面形位要求与粗糙度：跳动度0.05，周向直线度0.015，粗糙度Rz4；
③曲柄连杆模块（活塞与活塞环组件轴向）间隙控制mm：气环：0.12±0.02、刮油环：0.08±0.02、油环部件：0.05±0.02；曲柄连杆模块（活塞环槽与活塞环）配合面形位要求与粗糙度：跳动度0.05，周向直线度0.015，粗糙度Rz4；
3、曲柄连杆模块（活塞环组件闭口间隙）轴向通路面积：1.14~1.52mm^2
4、曲柄连杆模块（活塞环组件）总弹力系数：0.75N/mm,（活塞环组件外圆）总接触长度＜4.8mm、曲柄连杆模块（活塞环和活塞）运动副表面粗糙度Rz4，曲柄连杆模块曲轴组件运动副摩擦系数＜0.015；曲柄连杆模块活塞组件运动副摩擦系数＜0.1；
</t>
  </si>
  <si>
    <t>2、热动子系统分解给曲柄连杆模块的接口需求
  与控制子系统的接口
 曲轴对应发火间隔顺序为153624</t>
  </si>
  <si>
    <t>模块内部间的接口控制：
1、活塞-活塞销：能传递210bar的爆压压力，并在0.007~0.022间隙（活塞销孔直径：46.007~46.016，销直径46~45.992）下不抱死
2、活塞销-衬套：能传递210bar的爆压压力，并在0.023~0.043间隙（活衬套内孔直径：46.023~46.037，销直径46~45.992）下不抱死
3-连杆轴瓦-曲轴：能传递210bar的爆压压力，并在0.024~0.088间隙（轴瓦厚度：2.5(-0.026,-0.016)，曲轴连杆轴颈直径81(-0.022,0)下保持转动灵活
4-主轴瓦-曲轴：能传递210bar的爆压压力，并在0.04~0.082间隙（轴瓦厚度：2.5(-0.02,-0.03)，曲轴连杆轴颈直径95(-0.022,0)下保持转动灵活</t>
  </si>
  <si>
    <r>
      <t>2、热动子系统分解给曲柄连杆模块的接口需求
 配气缸盖子系统接口
（1）提供正时齿轮安装螺纹孔：分布圆95,2-M6X1.5X9，正时信号定位销与一缸上止点成45°
（2）提供气门让位避让空间（气门间隙）：进气门1，直径38.5，排气门2.3，直径35.5
（</t>
    </r>
    <r>
      <rPr>
        <sz val="11"/>
        <color theme="1"/>
        <rFont val="宋体"/>
        <charset val="134"/>
        <scheme val="minor"/>
      </rPr>
      <t>3）曲柄连杆最大长度：496.81~496.9045。</t>
    </r>
  </si>
  <si>
    <t>3、模块内部接口控制：
   1）活塞-活塞销：间隙配合，活塞销孔尺寸，活塞销尺寸：</t>
  </si>
  <si>
    <t xml:space="preserve">
重量：曲柄连杆模块总重量≤72g
满足法规的无禁用物要求：无铅</t>
  </si>
  <si>
    <t>3、模块内部接口控制：
   2）连杆部件-活塞销：间隙配合，活塞销尺寸，连杆部件（内孔尺寸）</t>
  </si>
  <si>
    <t>可靠性指标分解：总12mis≤1070ppm
活塞：12mis≤130
活塞销12mis≤80
连杆部件12mis ≤106
上连杆轴瓦12mis≤150
下连杆轴瓦12mis≤110
上主轴瓦12mis≤100
下主轴瓦12mis≤60
止推片12mis ≤107
曲轴12mis≤107
活塞环组件12mis≤120</t>
  </si>
  <si>
    <t>3、模块内部接口控制：
  3）连杆轴瓦-连杆部件：定位唇大小，位置</t>
  </si>
  <si>
    <t>成本：曲柄连杆模块总成本≤XX元
活塞	
活塞销	
连杆部件	
上下连杆轴瓦	
上下主轴瓦	
上下止推片	
曲轴	
活塞环组件</t>
  </si>
  <si>
    <t>3、模块内部接口控制：
 4）连杆轴瓦-曲轴：间隙配合，连杆瓦尺寸：；曲轴轴颈尺寸：</t>
  </si>
  <si>
    <t>3、模块内部接口控制：
 5）主轴瓦-曲轴：间隙配合，主轴瓦尺寸：；曲轴轴颈尺寸：</t>
  </si>
  <si>
    <t>3、模块内部接口控制：
6）止推片-曲轴：径向间隙配合：止推片内径：</t>
  </si>
  <si>
    <t>3、模块内部接口控制：
7）活塞环-活塞环槽：活塞环径向、轴向尺寸，环槽径向，轴向尺寸</t>
  </si>
  <si>
    <t>Design Failure Mode and Effects Analysis (Design FMEA) 设计失效模式及影响分析(设计FMEA)</t>
  </si>
  <si>
    <t>Planning and Preparation (Step 1) 策划与准备 （步骤一）</t>
  </si>
  <si>
    <t>Company Name:
公司名称:</t>
  </si>
  <si>
    <t/>
  </si>
  <si>
    <t>Product Type:
产品型号:</t>
  </si>
  <si>
    <t>K08-68</t>
  </si>
  <si>
    <t>Subject:
项目:</t>
  </si>
  <si>
    <t>DFMEA  Number:
DFMEA 编号:</t>
  </si>
  <si>
    <t>DF2209200002-015</t>
  </si>
  <si>
    <t>Production Location:
生产地址:</t>
  </si>
  <si>
    <t>PN:
零件号:</t>
  </si>
  <si>
    <t>A</t>
  </si>
  <si>
    <t>DFMEA Start Date:
DFMEA 开始日期:</t>
  </si>
  <si>
    <t>DFMEA Revision No:
DFMEA 版本号:</t>
  </si>
  <si>
    <t>V1.0</t>
  </si>
  <si>
    <t>Customer Name:
顾客名称:</t>
  </si>
  <si>
    <t>Model Year / Program(s):
年型/项目:</t>
  </si>
  <si>
    <t>DFMEA Revision Date:
DFMEA 修订日期:</t>
  </si>
  <si>
    <t>未发布</t>
  </si>
  <si>
    <t>Customer PN:
顾客零件号:</t>
  </si>
  <si>
    <t>Confidentiality Level: 
保密级别:</t>
  </si>
  <si>
    <t>Design Responsibility:
设计责任人:</t>
  </si>
  <si>
    <t>韦良锦/结构开发部</t>
  </si>
  <si>
    <t>Customer Drawing Revision No:
顾客图纸版本号:</t>
  </si>
  <si>
    <t>Cross-Functional Team:
跨职能团队:</t>
  </si>
  <si>
    <t>包毅</t>
  </si>
  <si>
    <t>Continuous Improvement
持续改善</t>
  </si>
  <si>
    <t>Structure Analysis(Setp2)
结构分析（步骤二）</t>
  </si>
  <si>
    <t>Function Analysis (Step 3)
功能分析 （步骤三）</t>
  </si>
  <si>
    <t>Failure Analysis (Step 4) 
失效分析 （步骤四）</t>
  </si>
  <si>
    <t>DFMEA Risk Analysis (Step 5) 
 设计 FMEA 风险分析 （步骤五）</t>
  </si>
  <si>
    <t>DFMEA Optimization (Step 6) 
 设计 FMEA  优化（步骤六）</t>
  </si>
  <si>
    <t>Remark
备注</t>
  </si>
  <si>
    <t>Issues
问题#</t>
  </si>
  <si>
    <t>History/change Authorization
(as Applicable)
历史/变更授权(适用时)</t>
  </si>
  <si>
    <r>
      <t xml:space="preserve">1. Next Higher Level
</t>
    </r>
    <r>
      <rPr>
        <b/>
        <sz val="9"/>
        <color indexed="8"/>
        <rFont val="宋体"/>
        <charset val="134"/>
      </rPr>
      <t>上一较高级别</t>
    </r>
  </si>
  <si>
    <t>2. Focus Element
关注要素</t>
  </si>
  <si>
    <r>
      <t xml:space="preserve">3. Next Lower Level or Characteristic Type
</t>
    </r>
    <r>
      <rPr>
        <b/>
        <sz val="9"/>
        <color indexed="8"/>
        <rFont val="宋体"/>
        <charset val="134"/>
      </rPr>
      <t>下一较低级别或特性类</t>
    </r>
  </si>
  <si>
    <r>
      <t xml:space="preserve">1. Next Higher Level Function and Requirement
</t>
    </r>
    <r>
      <rPr>
        <b/>
        <sz val="9"/>
        <color indexed="8"/>
        <rFont val="宋体"/>
        <charset val="134"/>
      </rPr>
      <t>上一较高级别功能和要求</t>
    </r>
  </si>
  <si>
    <t>2. Focus Element Function and Requirement
关注要素功能和要求</t>
  </si>
  <si>
    <r>
      <t xml:space="preserve">3. Next Lower Level Function and Requirement or Characteristic Type 
</t>
    </r>
    <r>
      <rPr>
        <b/>
        <sz val="9"/>
        <color indexed="8"/>
        <rFont val="宋体"/>
        <charset val="134"/>
      </rPr>
      <t>下一较低级别功能和要求或特性类</t>
    </r>
  </si>
  <si>
    <t>1. Failure effects(FE) to the Next Higher Level Element and/or End User
对于上一较高级别要素和/或最终用户的失效影响 (FE)</t>
  </si>
  <si>
    <r>
      <t xml:space="preserve">Severity of FE(S)
</t>
    </r>
    <r>
      <rPr>
        <b/>
        <sz val="9"/>
        <color indexed="8"/>
        <rFont val="宋体"/>
        <charset val="134"/>
      </rPr>
      <t>失效影响的严重度</t>
    </r>
  </si>
  <si>
    <r>
      <t xml:space="preserve">2. Failure Mode(FM) of focus Element
</t>
    </r>
    <r>
      <rPr>
        <b/>
        <sz val="9"/>
        <color indexed="8"/>
        <rFont val="宋体"/>
        <charset val="134"/>
      </rPr>
      <t>关注要素的失效模式</t>
    </r>
    <r>
      <rPr>
        <b/>
        <sz val="9"/>
        <color indexed="8"/>
        <rFont val="Arial"/>
        <family val="2"/>
      </rPr>
      <t xml:space="preserve"> (FM) </t>
    </r>
  </si>
  <si>
    <t>3. Failure Cause (FC) of the Next Lower Element or Characteristic
下一较低级别要素或特性的失效起因 (FC)</t>
  </si>
  <si>
    <t>Current Prevention Control(PC) of FC对失效起因的当前预防控制(PC)</t>
  </si>
  <si>
    <r>
      <t xml:space="preserve">Occurrence(O) of FC
</t>
    </r>
    <r>
      <rPr>
        <b/>
        <sz val="9"/>
        <color indexed="8"/>
        <rFont val="宋体"/>
        <charset val="134"/>
      </rPr>
      <t>失效起因的频度</t>
    </r>
    <r>
      <rPr>
        <b/>
        <sz val="9"/>
        <color indexed="8"/>
        <rFont val="Arial"/>
        <family val="2"/>
      </rPr>
      <t>(O)</t>
    </r>
  </si>
  <si>
    <t xml:space="preserve"> Current Detection Control(DC) of FC or FM失效起因或失效模式的当前探测控制(DC)</t>
  </si>
  <si>
    <t>Detection (D) of FC /FM
失效起因/失效模式的探测度</t>
  </si>
  <si>
    <r>
      <t xml:space="preserve">DFMEA AP
</t>
    </r>
    <r>
      <rPr>
        <b/>
        <sz val="9"/>
        <color indexed="8"/>
        <rFont val="宋体"/>
        <charset val="134"/>
      </rPr>
      <t>设计</t>
    </r>
    <r>
      <rPr>
        <b/>
        <sz val="9"/>
        <color indexed="8"/>
        <rFont val="Arial"/>
        <family val="2"/>
      </rPr>
      <t>FMEA</t>
    </r>
    <r>
      <rPr>
        <b/>
        <sz val="9"/>
        <color indexed="8"/>
        <rFont val="宋体"/>
        <charset val="134"/>
      </rPr>
      <t>措施优先级</t>
    </r>
  </si>
  <si>
    <t>DFMEA Preventive Action
预防措施</t>
  </si>
  <si>
    <t>DFMEA Detection Action探测措施</t>
  </si>
  <si>
    <t>Responsible Person’s Name
负责人姓名</t>
  </si>
  <si>
    <t>Target Completion Date
目标完成日期</t>
  </si>
  <si>
    <t>Status 
状态</t>
  </si>
  <si>
    <t>Action Taken with Pointer to Evidence
采取基于证据的措施</t>
  </si>
  <si>
    <t>Completion Date 
完成日期</t>
  </si>
  <si>
    <t>Severity(S)严重度</t>
  </si>
  <si>
    <t>Occurrence(O)发生度</t>
  </si>
  <si>
    <t>Detection (D) 探测度</t>
  </si>
  <si>
    <t>DFMEA AP措施优先级</t>
  </si>
  <si>
    <t>热动转化子系</t>
  </si>
  <si>
    <t>活塞</t>
  </si>
  <si>
    <r>
      <rPr>
        <sz val="9"/>
        <rFont val="宋体"/>
        <charset val="134"/>
      </rPr>
      <t>主要功能：将热能转化成动能，均匀稳定输出扭矩</t>
    </r>
    <r>
      <rPr>
        <sz val="9"/>
        <rFont val="宋体"/>
        <charset val="134"/>
      </rPr>
      <t>要求：最大扭矩</t>
    </r>
    <r>
      <rPr>
        <sz val="9"/>
        <rFont val="Arial"/>
        <family val="2"/>
      </rPr>
      <t>1500N.m@(1200~1600)r/min</t>
    </r>
  </si>
  <si>
    <t>主要功能：将热能转化成动能，均匀稳定输出扭矩要求：最大扭矩1500N.m@(1200~1600)r/min</t>
  </si>
  <si>
    <t>活塞承受爆压，燃烧室的尺寸、形状与容积47.25±0.8mL</t>
  </si>
  <si>
    <t>输出扭矩不足，在(1200~1600)r/min下输出最大扭矩＜1500N.m</t>
  </si>
  <si>
    <r>
      <rPr>
        <sz val="9"/>
        <rFont val="宋体"/>
        <charset val="134"/>
      </rPr>
      <t>曲柄连杆模块：热动子系统形成燃烧腔不满足压缩比</t>
    </r>
    <r>
      <rPr>
        <sz val="9"/>
        <rFont val="Arial"/>
        <family val="2"/>
      </rPr>
      <t>19±0.3</t>
    </r>
    <r>
      <rPr>
        <sz val="9"/>
        <rFont val="宋体"/>
        <charset val="134"/>
      </rPr>
      <t>要求</t>
    </r>
  </si>
  <si>
    <t>整机压缩容积测试，容积满足要求</t>
  </si>
  <si>
    <t>足B10寿命＞80万公里，12MIS＜2170</t>
  </si>
  <si>
    <t>B10寿命80万公里，12MIS≤1070ppm；</t>
  </si>
  <si>
    <r>
      <t>活塞：12mis≤130，B10寿命＞80万公里：</t>
    </r>
    <r>
      <rPr>
        <sz val="9"/>
        <color indexed="10"/>
        <rFont val="宋体"/>
        <charset val="134"/>
      </rPr>
      <t>安全系数＞1.2</t>
    </r>
  </si>
  <si>
    <t>满足B10寿命＜80万公里，12MIS＞2170</t>
  </si>
  <si>
    <t>B10寿命＜80万公里，12MIS＞1070ppm；</t>
  </si>
  <si>
    <t xml:space="preserve">1、设计阶段活塞CAE结构强度分析安全系数≥1.2
</t>
  </si>
  <si>
    <r>
      <t>1-</t>
    </r>
    <r>
      <rPr>
        <sz val="9"/>
        <rFont val="宋体"/>
        <charset val="134"/>
      </rPr>
      <t xml:space="preserve">活塞单体试验-4
</t>
    </r>
    <r>
      <rPr>
        <sz val="9"/>
        <rFont val="Arial"/>
        <family val="2"/>
      </rPr>
      <t>2-</t>
    </r>
    <r>
      <rPr>
        <sz val="9"/>
        <rFont val="宋体"/>
        <charset val="134"/>
      </rPr>
      <t>整机</t>
    </r>
    <r>
      <rPr>
        <sz val="9"/>
        <rFont val="Arial"/>
        <family val="2"/>
      </rPr>
      <t>2000h</t>
    </r>
    <r>
      <rPr>
        <sz val="9"/>
        <rFont val="宋体"/>
        <charset val="134"/>
      </rPr>
      <t>可靠性试验-6</t>
    </r>
  </si>
  <si>
    <r>
      <t>活塞：12mis≤130，B10寿命＞80万公里：安全系数大禹1.2：活</t>
    </r>
    <r>
      <rPr>
        <sz val="9"/>
        <color indexed="10"/>
        <rFont val="宋体"/>
        <charset val="134"/>
      </rPr>
      <t>塞外径＜109.89±0.009不拉缸</t>
    </r>
  </si>
  <si>
    <t>活塞外径大于109.89±0.009，间隙不足导致拉缸</t>
  </si>
  <si>
    <t>活塞外径满足109.89±0.009（即与缸套间隙满足《曲柄连杆开发规范》规定的间隙）</t>
  </si>
  <si>
    <t>拉缸试验</t>
  </si>
  <si>
    <t>1、活塞环组件与活塞轴向间隙控制＜要求mm：气环：0.12±0.02、刮油环：0.08±0.02、油环部件：0.05±0.02；导致卡环</t>
  </si>
  <si>
    <t>按Q/YC 2511《曲柄连杆系统开发规范
1、活塞环组件与活塞轴向间隙控制mm：气环：0.12±0.02、刮油环：0.08±0.02、油环部件：0.05±0.02</t>
  </si>
  <si>
    <t>整机性能试验</t>
  </si>
  <si>
    <t>活塞销孔直径＜46.007，导致活塞销和销孔卡死（活塞销同此条）</t>
  </si>
  <si>
    <t>高温拉缸试验</t>
  </si>
  <si>
    <t>活塞销</t>
  </si>
  <si>
    <t>活塞销12mis≤80，B10寿命＞80万公里</t>
  </si>
  <si>
    <r>
      <rPr>
        <sz val="9"/>
        <rFont val="宋体"/>
        <charset val="134"/>
      </rPr>
      <t>整机</t>
    </r>
    <r>
      <rPr>
        <sz val="9"/>
        <rFont val="Arial"/>
        <family val="2"/>
      </rPr>
      <t>2000h</t>
    </r>
    <r>
      <rPr>
        <sz val="9"/>
        <rFont val="宋体"/>
        <charset val="134"/>
      </rPr>
      <t>可靠性试验</t>
    </r>
  </si>
  <si>
    <t>连杆部件</t>
  </si>
  <si>
    <t>连杆部件12mis ≤106，B10寿命＞80万公里</t>
  </si>
  <si>
    <r>
      <rPr>
        <sz val="9"/>
        <rFont val="宋体"/>
        <charset val="134"/>
      </rPr>
      <t xml:space="preserve">
</t>
    </r>
    <r>
      <rPr>
        <sz val="9"/>
        <rFont val="Arial"/>
        <family val="2"/>
      </rPr>
      <t>2</t>
    </r>
    <r>
      <rPr>
        <sz val="9"/>
        <rFont val="宋体"/>
        <charset val="134"/>
      </rPr>
      <t>、整机耐久性试验</t>
    </r>
  </si>
  <si>
    <t>曲轴</t>
  </si>
  <si>
    <t>曲轴12mis≤107，B10寿命＞80万公里</t>
  </si>
  <si>
    <r>
      <t>CAE</t>
    </r>
    <r>
      <rPr>
        <sz val="9"/>
        <rFont val="宋体"/>
        <charset val="134"/>
      </rPr>
      <t>计算曲轴圆角强度安全系数≥</t>
    </r>
    <r>
      <rPr>
        <sz val="9"/>
        <rFont val="Arial"/>
        <family val="2"/>
      </rPr>
      <t>1.2</t>
    </r>
  </si>
  <si>
    <r>
      <t>1-</t>
    </r>
    <r>
      <rPr>
        <sz val="9"/>
        <rFont val="宋体"/>
        <charset val="134"/>
      </rPr>
      <t xml:space="preserve">曲轴弯曲疲劳试验
</t>
    </r>
    <r>
      <rPr>
        <sz val="9"/>
        <rFont val="Arial"/>
        <family val="2"/>
      </rPr>
      <t>2-</t>
    </r>
    <r>
      <rPr>
        <sz val="9"/>
        <rFont val="宋体"/>
        <charset val="134"/>
      </rPr>
      <t>整机</t>
    </r>
    <r>
      <rPr>
        <sz val="9"/>
        <rFont val="Arial"/>
        <family val="2"/>
      </rPr>
      <t>2000h</t>
    </r>
    <r>
      <rPr>
        <sz val="9"/>
        <rFont val="宋体"/>
        <charset val="134"/>
      </rPr>
      <t>可靠性试验</t>
    </r>
  </si>
  <si>
    <t>曲轴轴颈未淬火
或硬度＜53HRC范围；导致曲轴磨损，烧瓦</t>
  </si>
  <si>
    <t xml:space="preserve">Q/YC 706.4《曲轴材料及热处理规范》，硬度≥53HRC
</t>
  </si>
  <si>
    <t>整机2000h可靠性试验</t>
  </si>
  <si>
    <t>上主轴瓦</t>
  </si>
  <si>
    <t>上主轴瓦12mis≤100，B10寿命＞80万公里；</t>
  </si>
  <si>
    <t>Q/YC 753.2-《轴瓦工程规范》，轴瓦硬度＞70Hv5</t>
  </si>
  <si>
    <t>1-轴瓦材料性能测试
2-整机2000h可靠性试验</t>
  </si>
  <si>
    <t>轴瓦厚度＞2.48，导致曲轴和轴瓦间隙小，油膜不足，烧瓦（曲轴主轴颈、上主轴瓦同此条）</t>
  </si>
  <si>
    <t>1-按Q/YC 2511《曲柄连杆系统开发规范》控制间隙
2-轴瓦EHD计算满足仿真评价标准</t>
  </si>
  <si>
    <t>整机外特性最高爆压测试</t>
  </si>
  <si>
    <t>下主轴瓦</t>
  </si>
  <si>
    <t>B10寿命＞80万公里；下主轴瓦12mis≤60</t>
  </si>
  <si>
    <t>1-仿真计算主轴瓦受到的面压控制＜60MPa
2-2-按Q/YC 753.1《轴瓦设计规范》对轴瓦选型</t>
  </si>
  <si>
    <t>1-合金镀层疲劳强度试验
2-整机2000h可靠性试验</t>
  </si>
  <si>
    <t>上连杆轴瓦</t>
  </si>
  <si>
    <t>上连杆轴瓦12mis≤150，B10寿命＞80万公里；</t>
  </si>
  <si>
    <t>1-仿真计算上连杆轴瓦受到的面压＜90MPa
2-按Q/YC 753.1《轴瓦设计规范》对轴瓦选型</t>
  </si>
  <si>
    <t>下连杆轴瓦</t>
  </si>
  <si>
    <t>下连杆轴瓦12mis≤110，B10寿命＞80万公里；</t>
  </si>
  <si>
    <t>轴瓦厚度＞2.816，导致曲轴和轴瓦间隙小，油膜不足，烧瓦
（曲轴连杆轴颈、上连杆轴瓦同此条）</t>
  </si>
  <si>
    <t>曲轴止推片</t>
  </si>
  <si>
    <t>曲轴止推片12mis≤110，B10寿命＞80万公里；</t>
  </si>
  <si>
    <t xml:space="preserve">
1-合金镀层疲劳强度试验
2-2万公里道路试验</t>
  </si>
  <si>
    <t>按724.1《曲轴止推片设计规范》，根据止推片线速度对止推片材料进行选型</t>
  </si>
  <si>
    <t xml:space="preserve">
1-耐磨性试验
2-2万公里道路试验</t>
  </si>
  <si>
    <t>非预期输出：
摩擦功：热转化子系统标定点≤3.7kW；BTE点≤1.7kW；</t>
  </si>
  <si>
    <r>
      <rPr>
        <sz val="9"/>
        <color indexed="8"/>
        <rFont val="宋体"/>
        <charset val="134"/>
      </rPr>
      <t>曲柄连杆模块（活塞环组件）总弹力系数：</t>
    </r>
    <r>
      <rPr>
        <sz val="9"/>
        <color indexed="8"/>
        <rFont val="Arial"/>
        <family val="2"/>
      </rPr>
      <t>0.75N/mm,</t>
    </r>
    <r>
      <rPr>
        <sz val="9"/>
        <color indexed="8"/>
        <rFont val="宋体"/>
        <charset val="134"/>
      </rPr>
      <t>（活塞环组件外圆）总接触长度＜</t>
    </r>
    <r>
      <rPr>
        <sz val="9"/>
        <color indexed="8"/>
        <rFont val="Arial"/>
        <family val="2"/>
      </rPr>
      <t>4.8mm</t>
    </r>
    <r>
      <rPr>
        <sz val="9"/>
        <color indexed="8"/>
        <rFont val="宋体"/>
        <charset val="134"/>
      </rPr>
      <t>、曲柄连杆模块（活塞环和活塞）运动副表面粗糙度</t>
    </r>
    <r>
      <rPr>
        <sz val="9"/>
        <color indexed="8"/>
        <rFont val="Arial"/>
        <family val="2"/>
      </rPr>
      <t>Rz4</t>
    </r>
    <r>
      <rPr>
        <sz val="9"/>
        <color indexed="8"/>
        <rFont val="宋体"/>
        <charset val="134"/>
      </rPr>
      <t>，曲柄连杆模块曲轴组件运动副摩擦系数＜</t>
    </r>
    <r>
      <rPr>
        <sz val="9"/>
        <color indexed="8"/>
        <rFont val="Arial"/>
        <family val="2"/>
      </rPr>
      <t>0.015</t>
    </r>
    <r>
      <rPr>
        <sz val="9"/>
        <color indexed="8"/>
        <rFont val="宋体"/>
        <charset val="134"/>
      </rPr>
      <t>；曲柄连杆模块活塞组件运动副摩擦系数＜</t>
    </r>
    <r>
      <rPr>
        <sz val="9"/>
        <color indexed="8"/>
        <rFont val="Arial"/>
        <family val="2"/>
      </rPr>
      <t>0.1</t>
    </r>
    <r>
      <rPr>
        <sz val="9"/>
        <color indexed="8"/>
        <rFont val="宋体"/>
        <charset val="134"/>
      </rPr>
      <t xml:space="preserve">；
</t>
    </r>
  </si>
  <si>
    <r>
      <rPr>
        <sz val="9"/>
        <color indexed="8"/>
        <rFont val="宋体"/>
        <charset val="134"/>
      </rPr>
      <t>1）活塞环组件总弹力系数＜</t>
    </r>
    <r>
      <rPr>
        <sz val="9"/>
        <color indexed="8"/>
        <rFont val="Arial"/>
        <family val="2"/>
      </rPr>
      <t>0.75N/mm</t>
    </r>
    <r>
      <rPr>
        <sz val="9"/>
        <color indexed="8"/>
        <rFont val="宋体"/>
        <charset val="134"/>
      </rPr>
      <t xml:space="preserve">；
</t>
    </r>
    <r>
      <rPr>
        <sz val="9"/>
        <color indexed="8"/>
        <rFont val="Arial"/>
        <family val="2"/>
      </rPr>
      <t>2</t>
    </r>
    <r>
      <rPr>
        <sz val="9"/>
        <color indexed="8"/>
        <rFont val="宋体"/>
        <charset val="134"/>
      </rPr>
      <t>）运动副表面粗糙度＜</t>
    </r>
    <r>
      <rPr>
        <sz val="9"/>
        <color indexed="8"/>
        <rFont val="Arial"/>
        <family val="2"/>
      </rPr>
      <t>Rz4</t>
    </r>
  </si>
  <si>
    <t>热转化子系统标定点＞3.7kW；BTE点＞1.7kW；</t>
  </si>
  <si>
    <t>曲柄连杆模块标定点＞3.7kW；BTE点＞1.7kW</t>
  </si>
  <si>
    <t>摩擦功试验</t>
  </si>
  <si>
    <t>主轴瓦</t>
  </si>
  <si>
    <t>主要功能：
曲柄连杆模块的轴瓦摩擦系数0.026；</t>
  </si>
  <si>
    <t xml:space="preserve">
轴瓦內圆表面粗糙度＜Rz8；</t>
  </si>
  <si>
    <t>按轴瓦设计规范控制粗糙度：轴瓦內圆表面粗糙度＜Rz8；</t>
  </si>
  <si>
    <t>连杆轴瓦</t>
  </si>
  <si>
    <t xml:space="preserve">1、非预期输出：全速全负荷机油消耗率0.06~0.12（g/ kW·h），2000h耐久后≤0.15（g/ kW·h）
2、在节气门后压力≥-28kPa，（-20~-10）kpa工况占比≤18%，（-00~-10）kpa工况占比≤21%，正压占比≥60%：48h模拟路谱工况机燃比：≤0.11% </t>
  </si>
  <si>
    <t>曲柄连杆模块（活塞环与活塞第一环槽）梯角配合控制：±13′</t>
  </si>
  <si>
    <t>活塞环与活塞第一环槽梯角配合控制：±13′</t>
  </si>
  <si>
    <r>
      <rPr>
        <sz val="9"/>
        <rFont val="宋体"/>
        <charset val="134"/>
      </rPr>
      <t>对上级影响主要功能：机油耗</t>
    </r>
    <r>
      <rPr>
        <sz val="9"/>
        <rFont val="Arial"/>
        <family val="2"/>
      </rPr>
      <t>-1</t>
    </r>
    <r>
      <rPr>
        <sz val="9"/>
        <rFont val="宋体"/>
        <charset val="134"/>
      </rPr>
      <t>、</t>
    </r>
    <r>
      <rPr>
        <sz val="9"/>
        <rFont val="Arial"/>
        <family val="2"/>
      </rPr>
      <t>2000h</t>
    </r>
    <r>
      <rPr>
        <sz val="9"/>
        <rFont val="宋体"/>
        <charset val="134"/>
      </rPr>
      <t>耐久后全速全负荷机油消耗率（</t>
    </r>
    <r>
      <rPr>
        <sz val="9"/>
        <rFont val="Arial"/>
        <family val="2"/>
      </rPr>
      <t>g/ kW·h</t>
    </r>
    <r>
      <rPr>
        <sz val="9"/>
        <rFont val="宋体"/>
        <charset val="134"/>
      </rPr>
      <t>）＞</t>
    </r>
    <r>
      <rPr>
        <sz val="9"/>
        <rFont val="Arial"/>
        <family val="2"/>
      </rPr>
      <t xml:space="preserve">0.15; 
</t>
    </r>
    <r>
      <rPr>
        <sz val="9"/>
        <rFont val="宋体"/>
        <charset val="134"/>
      </rPr>
      <t>高一层次影响（对上级影响）</t>
    </r>
    <r>
      <rPr>
        <sz val="9"/>
        <rFont val="Arial"/>
        <family val="2"/>
      </rPr>
      <t>:</t>
    </r>
    <r>
      <rPr>
        <sz val="9"/>
        <rFont val="宋体"/>
        <charset val="134"/>
      </rPr>
      <t>机油消耗率（</t>
    </r>
    <r>
      <rPr>
        <sz val="9"/>
        <rFont val="Arial"/>
        <family val="2"/>
      </rPr>
      <t>g/kW·h</t>
    </r>
    <r>
      <rPr>
        <sz val="9"/>
        <rFont val="宋体"/>
        <charset val="134"/>
      </rPr>
      <t>）＞</t>
    </r>
    <r>
      <rPr>
        <sz val="9"/>
        <rFont val="Arial"/>
        <family val="2"/>
      </rPr>
      <t>0.12%</t>
    </r>
    <r>
      <rPr>
        <sz val="9"/>
        <rFont val="宋体"/>
        <charset val="134"/>
      </rPr>
      <t>（全速全负荷）</t>
    </r>
  </si>
  <si>
    <t>曲柄连杆模块：
（活塞环与活塞第一环槽）梯角配合控制不满足±13′</t>
  </si>
  <si>
    <r>
      <t>1-</t>
    </r>
    <r>
      <rPr>
        <sz val="9"/>
        <color indexed="8"/>
        <rFont val="宋体"/>
        <charset val="134"/>
      </rPr>
      <t xml:space="preserve">机油耗试验
</t>
    </r>
    <r>
      <rPr>
        <sz val="9"/>
        <color indexed="8"/>
        <rFont val="Arial"/>
        <family val="2"/>
      </rPr>
      <t>2-</t>
    </r>
    <r>
      <rPr>
        <sz val="9"/>
        <color indexed="8"/>
        <rFont val="宋体"/>
        <charset val="134"/>
      </rPr>
      <t>整机</t>
    </r>
    <r>
      <rPr>
        <sz val="9"/>
        <color indexed="8"/>
        <rFont val="Arial"/>
        <family val="2"/>
      </rPr>
      <t>2000h</t>
    </r>
    <r>
      <rPr>
        <sz val="9"/>
        <color indexed="8"/>
        <rFont val="宋体"/>
        <charset val="134"/>
      </rPr>
      <t>可靠性试验</t>
    </r>
  </si>
  <si>
    <t>曲柄连杆模块（活塞环槽与活塞环）配合面形位要求与粗糙度：跳动度≤0.05，周向直线度≤0.015，粗糙度≤Rz4</t>
  </si>
  <si>
    <t>活塞环槽与活塞环配合面形位要求与粗糙度：跳动度≤0.05，周向直线度≤0.015，粗糙度≤Rz4</t>
  </si>
  <si>
    <t>曲柄连杆模块（活塞环槽与活塞环）配合面形位要求与粗糙度：跳动度＞0.05，周向直线度＞0.015，粗糙度＞Rz4</t>
  </si>
  <si>
    <t>曲柄连杆模块（活塞环）总弹力系数≥0.75N/mm</t>
  </si>
  <si>
    <t>活塞环总弹力系数≥0.75N/mm</t>
  </si>
  <si>
    <t>曲柄连杆模块（活塞环）总弹力系数＜0.75N/mm</t>
  </si>
  <si>
    <t>曲柄连杆模块（活塞与活塞环组件轴向）间隙控制mm：气环：0.12±0.02、刮油环：0.08±0.02、油环部件：0.05±0.02</t>
  </si>
  <si>
    <t>活塞与活塞环组件轴向间隙控制mm：气环：0.12±0.02、刮油环：0.08±0.02、油环部件：0.05±0.02</t>
  </si>
  <si>
    <t>曲柄连杆模块（活塞与活塞环组件轴向）间隙不满足要求mmmm：气环：0.12±0.02、刮油环：0.08±0.02、油环部件：0.05±0.02</t>
  </si>
  <si>
    <t>活塞环与活塞的轴向间隙＞要求mm：气环：0.12±0.02、刮油环：0.08±0.02、油环部件：0.05±0.02</t>
  </si>
  <si>
    <t>曲柄连杆模块（活塞环组件闭口间隙）通路面积1.14~1.52mm^2</t>
  </si>
  <si>
    <t>活塞环组件闭口间隙通路面积1.14~1.52mm^2</t>
  </si>
  <si>
    <t>曲柄连杆模块（活塞环组件闭口间隙）通路面积＞1.52mm^2</t>
  </si>
  <si>
    <t>非预期输出：可靠性前标定点活塞漏气量＜120L/min，可靠性后＜130L/min</t>
  </si>
  <si>
    <t>曲柄连杆模块（活塞环组件）：表面硬度800-1000HV</t>
  </si>
  <si>
    <r>
      <rPr>
        <sz val="9"/>
        <color indexed="8"/>
        <rFont val="宋体"/>
        <charset val="134"/>
      </rPr>
      <t xml:space="preserve">活塞环组件表面硬度800-1000HV
</t>
    </r>
  </si>
  <si>
    <t>漏气量不达标：可靠性前不满足（50~120）L/min，可靠性后＞130L/min</t>
  </si>
  <si>
    <t>曲柄连杆模块（活塞环组件）表面硬度不满足800-1000HV</t>
  </si>
  <si>
    <t>活塞环组件表面硬度＜800HV</t>
  </si>
  <si>
    <t xml:space="preserve">整机窜气量测试(FM) 
</t>
  </si>
  <si>
    <t>漏气量不达标：可靠性前＞120L/min，可靠性后＞130L/min</t>
  </si>
  <si>
    <t>主要功能：
热动子系统的曲柄连杆模块能承受轴向力≥7700N；</t>
  </si>
  <si>
    <t>主要功能：
曲柄连杆模块止推面压≤2.5MPa；</t>
  </si>
  <si>
    <t>主要功能：止推面压≤2.5MPa；</t>
  </si>
  <si>
    <t xml:space="preserve">
热动子系统的曲柄连杆模块能承受轴向力＜7700N；</t>
  </si>
  <si>
    <t>非预期输出：满足最大瞬间扭矩冲击&gt;要求：满足最大瞬间扭矩6530N.m</t>
  </si>
  <si>
    <t>非预期输出：满足最大瞬间扭矩6530N.m冲击&gt;要求：曲柄连杆模块：在（标定功率257kW、最大扭矩1500N.m、最大瞬间扭矩6530N.m、最高转速3080r/min、设计爆压210bar）条件下曲柄连杆模块强度安全系数≥1.2</t>
  </si>
  <si>
    <t>主要功能：
曲轴强度安全系数≥1.2；</t>
  </si>
  <si>
    <t>能承受最大瞬间扭矩＜6530N.m</t>
  </si>
  <si>
    <t>曲柄连杆模块各零件安全系数＜1.2，功能失效</t>
  </si>
  <si>
    <t>邱力</t>
  </si>
  <si>
    <t>完成</t>
  </si>
  <si>
    <t>扭转疲劳试验</t>
  </si>
  <si>
    <t>非预期输出:满足NVH要求&gt;要求：扭转振幅：单阶0.2 deg，合成阶0.5deg</t>
  </si>
  <si>
    <t>主要功能：
曲柄连杆模块可靠性要求范围内曲轴系振幅单阶≤0.2deg，合成阶≤0.5deg；</t>
  </si>
  <si>
    <t>主要功能：
曲轴可靠性前后测试扭振振幅单阶≤0.2deg，合成阶≤0.5deg；</t>
  </si>
  <si>
    <t>扭转超标，振幅：单阶＞0.2 deg或合成阶＞0.5deg</t>
  </si>
  <si>
    <t>曲柄连杆模块2000h可靠性后曲轴系振幅单阶＞0.2deg或合成阶＞0.5deg；</t>
  </si>
  <si>
    <t>主要功能：
曲柄连杆模块转动惯量≤1.25kg·m；</t>
  </si>
  <si>
    <t>主要功能：
1、曲轴转动惯量≤0.5kg·㎡</t>
  </si>
  <si>
    <t>非功能要求：提供物理连接面（热动子系统与整机框架子系统）&gt;要求：（活塞与机体）活塞外径φ109.89±0.009</t>
  </si>
  <si>
    <t>曲柄连杆模块提供物理连接面3（活塞与机体）：外径109.89±0.009</t>
  </si>
  <si>
    <t>活塞外径控制范围109.89±0.009</t>
  </si>
  <si>
    <t>热动转化子系统运动不畅：活塞与缸套配合失效，出现窜油</t>
  </si>
  <si>
    <t>曲柄连杆模块（活塞）外径超差，＜109.89</t>
  </si>
  <si>
    <t>活塞外径＜109.89</t>
  </si>
  <si>
    <t>机油耗试验</t>
  </si>
  <si>
    <t>非功能要求：与润滑子系统的接口：
曲柄连杆模块在进气侧提供与缸中心距离36X21.35的进油孔接口</t>
  </si>
  <si>
    <r>
      <rPr>
        <sz val="9"/>
        <color indexed="8"/>
        <rFont val="宋体"/>
        <charset val="134"/>
      </rPr>
      <t>曲柄连杆模块在进气侧提供与缸中心距离</t>
    </r>
    <r>
      <rPr>
        <sz val="9"/>
        <color indexed="8"/>
        <rFont val="Arial"/>
        <family val="2"/>
      </rPr>
      <t>36X21.35</t>
    </r>
    <r>
      <rPr>
        <sz val="9"/>
        <color indexed="8"/>
        <rFont val="宋体"/>
        <charset val="134"/>
      </rPr>
      <t>的进油孔接口</t>
    </r>
  </si>
  <si>
    <t>活塞在进气侧提供与缸中心距离36X21.35的进油孔接口</t>
  </si>
  <si>
    <t>热动转化子系统冷却不足：喷油嘴与活塞进油口配合失效，活塞冷却不佳</t>
  </si>
  <si>
    <t>曲柄连杆模块（活塞）进油口位置偏离与缸中心距离36X21.35的位置</t>
  </si>
  <si>
    <t>打靶试验</t>
  </si>
  <si>
    <t>非功能要求：与润滑子系统的接口：
曲柄连杆模块给喷嘴提供＞3避让空间</t>
  </si>
  <si>
    <r>
      <rPr>
        <sz val="9"/>
        <color indexed="8"/>
        <rFont val="宋体"/>
        <charset val="134"/>
      </rPr>
      <t>曲柄连杆模块</t>
    </r>
    <r>
      <rPr>
        <sz val="9"/>
        <color indexed="8"/>
        <rFont val="宋体"/>
        <charset val="134"/>
      </rPr>
      <t>给喷嘴提供＞</t>
    </r>
    <r>
      <rPr>
        <sz val="9"/>
        <color indexed="8"/>
        <rFont val="Arial"/>
        <family val="2"/>
      </rPr>
      <t>3</t>
    </r>
    <r>
      <rPr>
        <sz val="9"/>
        <color indexed="8"/>
        <rFont val="宋体"/>
        <charset val="134"/>
      </rPr>
      <t>避让空间</t>
    </r>
  </si>
  <si>
    <t>活塞给喷嘴提供＞3避让空间</t>
  </si>
  <si>
    <t>热动转化子系统运动不畅：活塞与喷嘴干涉</t>
  </si>
  <si>
    <t>曲柄连杆模块（活塞）与喷嘴间隙＜3</t>
  </si>
  <si>
    <t>三维设计校核活塞与喷嘴间隙＞3</t>
  </si>
  <si>
    <t xml:space="preserve">
试装验证</t>
  </si>
  <si>
    <t>非功能要求：与配气缸盖子系统接口：
提供气门让位避让空间（气门间隙）：进气门1，直径38.5，排气门2.3，直径35.5</t>
  </si>
  <si>
    <r>
      <rPr>
        <sz val="9"/>
        <color indexed="8"/>
        <rFont val="宋体"/>
        <charset val="134"/>
      </rPr>
      <t>曲柄连杆模块（活塞）提供气门让位避让空间（气门间隙）：进气门</t>
    </r>
    <r>
      <rPr>
        <sz val="9"/>
        <color indexed="8"/>
        <rFont val="Arial"/>
        <family val="2"/>
      </rPr>
      <t>1</t>
    </r>
    <r>
      <rPr>
        <sz val="9"/>
        <color indexed="8"/>
        <rFont val="宋体"/>
        <charset val="134"/>
      </rPr>
      <t>，直径</t>
    </r>
    <r>
      <rPr>
        <sz val="9"/>
        <color indexed="8"/>
        <rFont val="Arial"/>
        <family val="2"/>
      </rPr>
      <t>38.5</t>
    </r>
    <r>
      <rPr>
        <sz val="9"/>
        <color indexed="8"/>
        <rFont val="宋体"/>
        <charset val="134"/>
      </rPr>
      <t>，排气门</t>
    </r>
    <r>
      <rPr>
        <sz val="9"/>
        <color indexed="8"/>
        <rFont val="Arial"/>
        <family val="2"/>
      </rPr>
      <t>2.3</t>
    </r>
    <r>
      <rPr>
        <sz val="9"/>
        <color indexed="8"/>
        <rFont val="宋体"/>
        <charset val="134"/>
      </rPr>
      <t>，直径</t>
    </r>
    <r>
      <rPr>
        <sz val="9"/>
        <color indexed="8"/>
        <rFont val="Arial"/>
        <family val="2"/>
      </rPr>
      <t>35.5</t>
    </r>
  </si>
  <si>
    <t>活塞提供气门让位避让空间（气门间隙）：进气门1，直径38.5，排气门2.3，直径35.5</t>
  </si>
  <si>
    <t>热动转化子系统运动不畅：活塞与气门配合失效，出现打顶或间隙过大问题</t>
  </si>
  <si>
    <t>柄连杆模块（活塞）提供气门让位避让空间（气门间隙）失效：进气门＜1或直径＜38.5或排气门＜2.3或直径＜35.5</t>
  </si>
  <si>
    <t>气门运动规律试验（打顶试验）</t>
  </si>
  <si>
    <t>非功能要求：
热动子系统内部模块接口： 曲轴连杆模块和飞轮及齿圈模块接口：8XM16X70；</t>
  </si>
  <si>
    <t>非功能要求：
曲轴连杆模块和飞轮及齿圈模块接口：8XM16X70；</t>
  </si>
  <si>
    <t>非功能要求：
曲轴后端和飞轮的螺栓接口：8XM16X70；</t>
  </si>
  <si>
    <r>
      <rPr>
        <sz val="9"/>
        <rFont val="宋体"/>
        <charset val="134"/>
      </rPr>
      <t>高一层次影响（对上级影响）</t>
    </r>
    <r>
      <rPr>
        <sz val="9"/>
        <rFont val="Arial"/>
        <family val="2"/>
      </rPr>
      <t xml:space="preserve">:
</t>
    </r>
    <r>
      <rPr>
        <sz val="9"/>
        <rFont val="宋体"/>
        <charset val="134"/>
      </rPr>
      <t>功能失效，无法传递扭矩</t>
    </r>
  </si>
  <si>
    <t>曲轴连杆模块和飞轮及齿圈模块接口：8XM16X70不满足安装要求；</t>
  </si>
  <si>
    <t>非功能要求：
热动子系统内部模块接口：
曲轴连杆模块和减振器模块接口：6XM14X34.5；</t>
  </si>
  <si>
    <t>非功能要求：
曲轴连杆模块和减振器模块接口：6XM14X34.5；</t>
  </si>
  <si>
    <t>非功能要求：
1、曲轴前端和硅油减振器的接口：6XM14X34.5；</t>
  </si>
  <si>
    <t>曲轴连杆模块和减振器模块接口：6XM14X34.5；不满足安装要求</t>
  </si>
  <si>
    <t>非功能要求：
热动子系统内部模块接口：
曲轴连杆模块和减振器模块接口：一缸上止点时销钉朝上对齐；</t>
  </si>
  <si>
    <t>非功能要求：
曲轴连杆模块和减振器模块接口：一缸上止点时销钉朝上对齐；</t>
  </si>
  <si>
    <t>非功能要求：
1、曲轴前端和硅油减振器的接口：一缸上止点时销钉朝上对齐；</t>
  </si>
  <si>
    <r>
      <rPr>
        <sz val="9"/>
        <rFont val="宋体"/>
        <charset val="134"/>
      </rPr>
      <t>高一层次影响（对上级影响）</t>
    </r>
    <r>
      <rPr>
        <sz val="9"/>
        <rFont val="Arial"/>
        <family val="2"/>
      </rPr>
      <t xml:space="preserve">:
</t>
    </r>
    <r>
      <rPr>
        <sz val="9"/>
        <rFont val="宋体"/>
        <charset val="134"/>
      </rPr>
      <t>功能失效，无法传递相位要求</t>
    </r>
  </si>
  <si>
    <t>曲轴连杆模块和减振器模块接口：一缸上止点时销钉孔未在朝上方向</t>
  </si>
  <si>
    <t>非功能要求：
热动子系统内部模块接口：
曲轴连杆模块和油封模块接口：过盈量0.23，曲轴接触外径：85（-0.035,0）；</t>
  </si>
  <si>
    <t>非功能要求：
曲轴连杆模块和油封模块接口：过盈量0.23；</t>
  </si>
  <si>
    <t>非功能要求：
曲轴接触外径：85（-0.035,0）</t>
  </si>
  <si>
    <r>
      <rPr>
        <sz val="9"/>
        <rFont val="宋体"/>
        <charset val="134"/>
      </rPr>
      <t>高一层次影响（对上级影响）</t>
    </r>
    <r>
      <rPr>
        <sz val="9"/>
        <rFont val="Arial"/>
        <family val="2"/>
      </rPr>
      <t xml:space="preserve">:
</t>
    </r>
    <r>
      <rPr>
        <sz val="9"/>
        <rFont val="宋体"/>
        <charset val="134"/>
      </rPr>
      <t>功能失效，无法满足密封润滑油的要求</t>
    </r>
  </si>
  <si>
    <t>曲轴连杆模块和油封模块接口：过盈量＞0.23</t>
  </si>
  <si>
    <t>非功能要求：
热动子系统内部模块接口：
曲轴连杆模块和油封模块接口：粗糙度控制带长度9mm；</t>
  </si>
  <si>
    <t>非功能要求：
曲轴连杆模块和油封模块接口：粗糙度控制带长度9mm；</t>
  </si>
  <si>
    <t>非功能要求：
曲轴小头前端与油封配合面粗糙度控制带长度9mm；</t>
  </si>
  <si>
    <t>曲轴连杆模块和油封模块接口：粗糙度控制带长度＜9mm；</t>
  </si>
  <si>
    <t>按曲轴设计规范控制曲轴粗糙度</t>
  </si>
  <si>
    <t xml:space="preserve">
试装验证（看油封是否拉伤）</t>
  </si>
  <si>
    <t>非功能要求：
热动子系统分解给曲柄连杆模块的接口需求：
曲柄连杆模块提供物理连接面1（轴瓦与机体）：直径93，宽度30.5，唇口宽度3.6，凸出量1.4，高度5；</t>
  </si>
  <si>
    <t>非功能要求：
曲柄连杆模块提供物理连接面1（轴瓦与机体）：直径93，宽度30.5，唇口宽度3.6，凸出量1.4，高度5；</t>
  </si>
  <si>
    <t>非功能要求：
主轴瓦直径93，宽度30.5，唇口宽度3.6，凸出量1.4，高度5；</t>
  </si>
  <si>
    <t>无法满足B10寿命＞80万公里，12MIS＜160</t>
  </si>
  <si>
    <t>轴瓦与机体座孔连接面选型不合理</t>
  </si>
  <si>
    <t>尺寸链校核</t>
  </si>
  <si>
    <t>非功能要求：
热动子系统分解给曲柄连杆模块的接口需求：
曲柄连杆模块提供物理连接面2（止推片与机体）：外径124，厚度2.5；</t>
  </si>
  <si>
    <t>非功能要求：
曲柄连杆模块提供物理连接面2（止推片与机体）：外径124，厚度2.5；</t>
  </si>
  <si>
    <t>非功能要求：
止推片外径124，厚度2.5；</t>
  </si>
  <si>
    <t>无法满足B10寿命＞80万公里，12MIS＜107</t>
  </si>
  <si>
    <t>止推片与机体座孔连接面选型不合理</t>
  </si>
  <si>
    <t>非功能要求：
热动子系统分解给曲柄连杆模块的接口需求：
与润滑子系统的接口：曲柄连杆模块给喷嘴提供＞3避让空间；</t>
  </si>
  <si>
    <t>非功能要求：
与润滑子系统的接口：曲柄连杆模块给喷嘴提供＞3避让空间；</t>
  </si>
  <si>
    <t>非功能要求：
曲轴给喷嘴提供＞3避让空间；</t>
  </si>
  <si>
    <t>高一层次影响（对上级影响）:
曲柄连杆模块与润滑子系统干涉，功能失效</t>
  </si>
  <si>
    <t>曲柄连杆模块给喷嘴提供＜3避让空间</t>
  </si>
  <si>
    <t>非功能要求：
热动子系统分解给曲柄连杆模块的接口需求：
与控制子系统的接口：曲轴对应发火间隔顺序为153624；</t>
  </si>
  <si>
    <t>非功能要求：
与控制子系统的接口：曲轴对应发火间隔顺序为153624；</t>
  </si>
  <si>
    <t>非功能要求：
曲轴对应发火间隔顺序为153624；</t>
  </si>
  <si>
    <r>
      <rPr>
        <sz val="9"/>
        <rFont val="宋体"/>
        <charset val="134"/>
      </rPr>
      <t>高一层次影响（对上级影响）</t>
    </r>
    <r>
      <rPr>
        <sz val="9"/>
        <rFont val="Arial"/>
        <family val="2"/>
      </rPr>
      <t>:</t>
    </r>
    <r>
      <rPr>
        <sz val="9"/>
        <rFont val="宋体"/>
        <charset val="134"/>
      </rPr>
      <t>未提供与控制子系统的正确接口：曲轴对应发火间隔顺序为</t>
    </r>
    <r>
      <rPr>
        <sz val="9"/>
        <rFont val="Arial"/>
        <family val="2"/>
      </rPr>
      <t>153624</t>
    </r>
    <r>
      <rPr>
        <sz val="9"/>
        <rFont val="宋体"/>
        <charset val="134"/>
      </rPr>
      <t>，热动子系统无法工作</t>
    </r>
  </si>
  <si>
    <t>未提供与控制子系统的正确接口：曲轴对应发火间隔顺序为153624。曲柄连杆模块无法工作</t>
  </si>
  <si>
    <t>三维校核</t>
  </si>
  <si>
    <t>非功能要求：
热动子系统分解给曲柄连杆模块的接口需求：
配气缸盖子系统接口：提供正时齿轮安装螺纹孔：分布圆95,2-M6X1.5X9；</t>
  </si>
  <si>
    <t>非功能要求：
配气缸盖子系统接口：曲柄连杆模块提供正时齿轮安装螺纹孔：分布圆95,2-M6X1.5X9；</t>
  </si>
  <si>
    <t>非功能要求：
曲轴后端提供正时齿轮安装螺纹孔：分布圆95,2-M6X1.5X9；</t>
  </si>
  <si>
    <r>
      <t>高一层次影响（对上级影响）</t>
    </r>
    <r>
      <rPr>
        <sz val="9"/>
        <rFont val="Arial"/>
        <family val="2"/>
      </rPr>
      <t xml:space="preserve">:
</t>
    </r>
    <r>
      <rPr>
        <sz val="9"/>
        <rFont val="宋体"/>
        <charset val="134"/>
      </rPr>
      <t>功能失效，无法提供正确的安装正时齿轮接口</t>
    </r>
  </si>
  <si>
    <t>曲柄连杆模块无法正确安装正时齿轮</t>
  </si>
  <si>
    <t>非功能要求：
热动子系统分解给曲柄连杆模块的接口需求：
配气缸盖子系统接口：正时信号定位销与一缸上止点成45°；</t>
  </si>
  <si>
    <t>非功能要求：
配气缸盖子系统接口：正时信号定位销与曲柄连杆模块一缸上止点成45°；</t>
  </si>
  <si>
    <t>非功能要求：
配气缸盖子系统接口：正时信号定位销与曲轴一缸上止点成45°；</t>
  </si>
  <si>
    <r>
      <t>高一层次影响（对上级影响）</t>
    </r>
    <r>
      <rPr>
        <sz val="9"/>
        <rFont val="Arial"/>
        <family val="2"/>
      </rPr>
      <t xml:space="preserve">:
</t>
    </r>
    <r>
      <rPr>
        <sz val="9"/>
        <rFont val="宋体"/>
        <charset val="134"/>
      </rPr>
      <t>功能失效，无法正确传递正时信号</t>
    </r>
  </si>
  <si>
    <t>曲柄连杆模块的定位销孔不在一缸上止点45°位置</t>
  </si>
  <si>
    <t>接口关系</t>
  </si>
  <si>
    <t>FORM</t>
  </si>
  <si>
    <t>TO</t>
  </si>
  <si>
    <t>接口类型</t>
  </si>
  <si>
    <t>要求</t>
  </si>
  <si>
    <t>整机框架子系统-曲轴箱（含吸油盘）</t>
  </si>
  <si>
    <t>曲柄连杆模块-连杆部件</t>
  </si>
  <si>
    <t>连杆部件运动轨迹与曲轴箱（含吸油盆）间距＞5mm</t>
  </si>
  <si>
    <t>子系统分解</t>
  </si>
  <si>
    <t>润滑子系统-机油液面</t>
  </si>
  <si>
    <t>物理连接：连杆部件与机油液面间隙配合</t>
  </si>
  <si>
    <t>连杆部件与机油液面间隙＞5mm</t>
  </si>
  <si>
    <t>物理连接：连杆部件与曲轴轴向间隙配合</t>
  </si>
  <si>
    <t>子模块分解</t>
  </si>
  <si>
    <t>物质交换：活塞将润滑油传递到连杆部件</t>
  </si>
  <si>
    <t>物理连接：过盈配合</t>
  </si>
  <si>
    <t>下连杆轴瓦将曲轴的动能传递给连杆部件，下连杆轴瓦不发生烧瓦</t>
  </si>
  <si>
    <t>连杆体</t>
  </si>
  <si>
    <t>连杆衬套</t>
  </si>
  <si>
    <t>内部接口</t>
  </si>
  <si>
    <t>连杆螺栓</t>
  </si>
  <si>
    <r>
      <t xml:space="preserve">2. Failure Mode(FM) of focus Element
</t>
    </r>
    <r>
      <rPr>
        <b/>
        <sz val="9"/>
        <color indexed="8"/>
        <rFont val="宋体"/>
        <charset val="134"/>
      </rPr>
      <t xml:space="preserve">关注要素的失效模式 (FM) </t>
    </r>
  </si>
  <si>
    <r>
      <t xml:space="preserve">DFMEA AP
</t>
    </r>
    <r>
      <rPr>
        <b/>
        <sz val="9"/>
        <color indexed="8"/>
        <rFont val="宋体"/>
        <charset val="134"/>
      </rPr>
      <t>设计FMEA措施优先级</t>
    </r>
  </si>
  <si>
    <t>1-CAE仿真分析
2-连杆疲劳试验
3-整机2000h可靠性试验</t>
  </si>
  <si>
    <t>4</t>
  </si>
  <si>
    <t>连杆小头与连杆衬套过盈量偏大，导致连杆小头烧蚀</t>
  </si>
  <si>
    <t>连杆衬套所选材料承压能力小，导致衬套面压过大磨损</t>
  </si>
  <si>
    <t>连杆衬套储油能力偏小，导致衬套干摩擦磨损</t>
  </si>
  <si>
    <t>连杆衬套内孔圆柱度＞0.006mm，导致衬套异常磨损</t>
  </si>
  <si>
    <t>连杆衬套与销过盈量过大或过小，导致衬套烧蚀</t>
  </si>
  <si>
    <t>1-高温拉缸试验
2-整机2000h可靠性试验</t>
  </si>
  <si>
    <t>连杆衬套厚度偏小，导致衬套烧蚀</t>
  </si>
  <si>
    <t>连杆螺栓抗拉强度偏弱，导致螺栓出现弯曲、断裂现象</t>
  </si>
  <si>
    <t>选择屈服强度＞940Mpa的螺栓材料，最终安全覆盖系数≥2</t>
  </si>
  <si>
    <t>1-螺栓疲劳试验
2-整机2000h可靠性试验</t>
  </si>
  <si>
    <t>连杆螺栓力矩过小/过大，导致螺栓出现弯曲、断裂现象</t>
  </si>
  <si>
    <t>图纸按Q/YC 11 清洁度要求执行</t>
  </si>
  <si>
    <t>1-整机试装
2-整机2000h可靠性试验</t>
  </si>
  <si>
    <t>连杆体（连杆螺栓）</t>
  </si>
  <si>
    <t>非功能要求：曲柄连杆模块分解给连杆部件的接口需求
连杆部件和整机框架子系统：
连杆部件运动轨迹与曲轴箱（含吸油盆）间距≥5mm</t>
  </si>
  <si>
    <t>曲柄连杆模块接口：连杆部件运动轨迹与曲轴箱（含吸油盆）间距＜5mm</t>
  </si>
  <si>
    <t>连杆部件运动轨迹与曲轴箱（含吸油盆）间距＜5mm</t>
  </si>
  <si>
    <t>连杆体（连杆螺栓）运动轨迹与曲轴箱（含吸油盆）间距＜5mm</t>
  </si>
  <si>
    <t>非功能要求：曲柄连杆模块分解给连杆部件的接口需求
连杆部件和润滑子系统：
连杆部件运动轨迹与机油液面间隙≥5mm</t>
  </si>
  <si>
    <t>曲柄连杆模块接口：连杆部件运动轨迹与机油液面间隙＜5mm</t>
  </si>
  <si>
    <t>连杆部件运动轨迹与机油液面间隙＜5mm</t>
  </si>
  <si>
    <t>连杆体（连杆螺栓）运动轨迹与机油液面间隙＜5mm</t>
  </si>
  <si>
    <t>曲轴箱通风试验</t>
  </si>
  <si>
    <t>NVH测试</t>
  </si>
  <si>
    <t>连杆部件摆角过大，使活塞对缸套的侧向力过大，导致摩擦功增大</t>
  </si>
  <si>
    <t>摩擦功测试</t>
  </si>
  <si>
    <t>1-压缩余隙测试
2-气门运动规律试验</t>
  </si>
  <si>
    <t>产品一般评估严重度（S）</t>
  </si>
  <si>
    <t>根据以下标准对潜在失效影响进行评级</t>
  </si>
  <si>
    <t>影响</t>
  </si>
  <si>
    <t>严重度标准</t>
  </si>
  <si>
    <t>非常高</t>
  </si>
  <si>
    <t>影响到车辆和/或其它车辆的操作安全，驾驶员、乘客、道路使用者或行人的健康状况。</t>
  </si>
  <si>
    <t>不符合法规。</t>
  </si>
  <si>
    <t>高</t>
  </si>
  <si>
    <t>在预期使用寿命内，失去正常驾驶所必需的车辆主要功能。</t>
  </si>
  <si>
    <t>在预期使用寿命内，降低正常驾驶所必需的车辆主要功能。</t>
  </si>
  <si>
    <t>中</t>
  </si>
  <si>
    <t>失去车辆的次要功能</t>
  </si>
  <si>
    <t>降低车辆的次要功能</t>
  </si>
  <si>
    <t>外观、声音、振动、粗糙度或触感令人感觉非常不舒服。</t>
  </si>
  <si>
    <t>低</t>
  </si>
  <si>
    <t>外观、声音、振动、粗糙度或触感令人感觉中度不舒服。</t>
  </si>
  <si>
    <t>外观、声音、振动、粗糙度或触感令人略微感觉不舒服。</t>
  </si>
  <si>
    <t>非常低</t>
  </si>
  <si>
    <t>没有觉察的影响。</t>
  </si>
  <si>
    <t>产品的潜在频度（O）</t>
  </si>
  <si>
    <t>公司或产品线示例</t>
  </si>
  <si>
    <t>O</t>
  </si>
  <si>
    <t>对失效起因发生的预测</t>
  </si>
  <si>
    <t>频度标准.DFMEA</t>
  </si>
  <si>
    <t>极高</t>
  </si>
  <si>
    <t>在无操作经验和/或在运行条件不可控制的情况下的任何地方对新技术的首次应用。没有对产品进行验证和/或确认的经验。不存在标准，且尚未确定最佳实践。</t>
  </si>
  <si>
    <t>完全创新</t>
  </si>
  <si>
    <t>预防控制不能预测使用现场绩效或不存在预防控制。</t>
  </si>
  <si>
    <t>在公司内首次应用具有技术创新或材料的设计。新应用，或工作周期/运行条件有改变。没有对产品进行验证和/或确认的经验。</t>
  </si>
  <si>
    <t>市场有，公司第一次，无验证经验，预防不行</t>
  </si>
  <si>
    <t>预防控制不是针对确定特定要求的性能。</t>
  </si>
  <si>
    <t>在新应用内首次使用具备创新技术的设计产品或材料。新应用，或工作周期/运行条件有改变。没有对产品进行验证和/或确认的经验。</t>
  </si>
  <si>
    <t>市场有，公司第一次，无验证经验，预防不可靠</t>
  </si>
  <si>
    <t>极少存在现有标准和最佳实践，不能直接用于该设计产品。预防控制不能可靠地反映使用现场绩效。</t>
  </si>
  <si>
    <t>根据相似技术和材料的新型设计。新应用，或工作周期/运行条件有改变，没有对产品进行验证和/确认的经验。</t>
  </si>
  <si>
    <t>相似应用，环境变，无验证，有类似成功案例</t>
  </si>
  <si>
    <t>标准、最佳实践和设计规则符合基础设计要求，但不适用于创新产品。预防控制提供了有限的性能指标。</t>
  </si>
  <si>
    <t>应用现有技术和材料，与之前设计相似。类似应用，工作周期或运行条件有改变。之前的测试或使用现场经验。</t>
  </si>
  <si>
    <t>类似设计，环境变，有验证，有实施套路，预防有点用</t>
  </si>
  <si>
    <t>存在标准和设计规则，但不足以确保不会出现失效起因。预防控制提供了预防失效起因的部分能力。</t>
  </si>
  <si>
    <t>应用成熟技术和材料，与之前设计相比有细节上的变化。类似的应用、工作周期或运行条件。之前的测试或使用现场经验，或为具有与失效相关测试经验的新设计。</t>
  </si>
  <si>
    <t>应用不变，环境改，有验证，有经验，预防有相关性</t>
  </si>
  <si>
    <t>在之前设计中所学到的与解决设计问题相关的教训。在本设计中对最佳实践进行再评估，但尚未经过验证。预防控制能够发现与失效起因相关的产品缺陷，并提供部分性能指标。</t>
  </si>
  <si>
    <t>与短期现场使用暴露几乎相同的设计。类似应用，工作周期或运行条件有细微变化。之前测试或使用现场经验。之前设计和为新设计而进行的改变符合最佳实践、标准和规范要求。</t>
  </si>
  <si>
    <t>应用不变，环境小改，有验证，预防有用</t>
  </si>
  <si>
    <t>预防控制能够发现与失效起因相关的产品缺陷，很可能地反映设计符合性。</t>
  </si>
  <si>
    <t>对已知设计（相同应用，在工作周期或操作条件方面）和测试或类似运行条件下的现场经验的细微变化或成功完成测试程序的新设计。</t>
  </si>
  <si>
    <t>抄最佳实践</t>
  </si>
  <si>
    <t>考虑到之前设计的经验教训，设计预计符合标准和最佳实践。预防控制能够发现与失效起因相关的产品缺陷，并预测了与生产设计的一致性。</t>
  </si>
  <si>
    <t>与长期现场暴露几乎相同的设计。相同应用，具备类似的工作周期或运行条件。在类似运行条件下的测试或使用现场经验。</t>
  </si>
  <si>
    <t>抄最佳实践，完全不改</t>
  </si>
  <si>
    <t>考虑到之前设计的经验教训并对其具备充足的信心，设计预计符合标准和最佳实践。预防控制能够发现与失效起因相关的产品缺陷，并显示出对设计符合性的信心。</t>
  </si>
  <si>
    <t>极低</t>
  </si>
  <si>
    <t>失效通过预防措施控制消除，通过设计失效起因不可能发生。</t>
  </si>
  <si>
    <t>设计防错</t>
  </si>
  <si>
    <t>产品经验：在公司内使用产品的历史（新品设计、应用或使用案例）。已经完成的探测控制结果提供了设计经验。</t>
  </si>
  <si>
    <t>预防控制：在产品设计中使用最佳实践、设计规则、公司标准、经验教训、行业标准、材料规范、政府规定、以及预防为导向的分析工具的有效性（分析工具包括计算机辅助工程、数学建模、模拟研究、公差叠加和设计案例边际）。</t>
  </si>
  <si>
    <t>注：频度10、9、8、7可根据产品验证活动降低。</t>
  </si>
  <si>
    <t>产品设计验证的潜在探测度（D）</t>
  </si>
  <si>
    <t>根据探测方法成熟度和探测机会对探测控制进行评级。</t>
  </si>
  <si>
    <t>D</t>
  </si>
  <si>
    <t>探测能力</t>
  </si>
  <si>
    <t>探测标准</t>
  </si>
  <si>
    <t>探测机会</t>
  </si>
  <si>
    <t>尚未制定测试过程。</t>
  </si>
  <si>
    <t>尚未确定测试方法</t>
  </si>
  <si>
    <t>没有为探测失效模式或失效起因而特别地设计测试方法。</t>
  </si>
  <si>
    <t>通过/不通过测试、失效测试、老化测试</t>
  </si>
  <si>
    <t>新测试方法，尚未经过验证</t>
  </si>
  <si>
    <t>已经验证的测试方法，该方法用于功能性验证或性能、质量、可靠性以及耐久性确认；测试计划时间在产品开发周期内较迟，如果测试失败将导致重新设计、重新开模具导致生产延迟。</t>
  </si>
  <si>
    <t>通过/不通过测试</t>
  </si>
  <si>
    <t>失效测试</t>
  </si>
  <si>
    <t>老化测试</t>
  </si>
  <si>
    <t>已经验证的测试方法，该方法用于功能性验证或性能、质量、可靠性以及耐久性确认；计划时间充分，可以在开始生产之前修改生产工装。</t>
  </si>
  <si>
    <t>之前测试证明不会出现失效模式或失效起因，或者探测方法经过实践验证总是能够探测到失效模式或失效起因。</t>
  </si>
  <si>
    <t>通过/不通过=ok/ not ok，某项试验通不通过，如可靠性验证通过/不通过；失效=验证直到零件出现失效；老化=通过多次累计试验，得出规律，如威布尔分布
打5~7或2~4的依据→评估是否会影响APQP</t>
  </si>
  <si>
    <t>物理连接：间隙配合</t>
    <phoneticPr fontId="23" type="noConversion"/>
  </si>
  <si>
    <t>物理连接：连杆部件小头与活塞内腔间隙配合</t>
    <phoneticPr fontId="23" type="noConversion"/>
  </si>
  <si>
    <t>连杆部件小头与活塞内腔轴向间隙≥2mm，顶部≥5mm</t>
    <phoneticPr fontId="23" type="noConversion"/>
  </si>
  <si>
    <t>活塞销和连杆衬套形成运动副，运动副间保证有＞0.023mm厚的油膜厚度</t>
    <phoneticPr fontId="23" type="noConversion"/>
  </si>
  <si>
    <t>物质交换：连杆部件小头将润滑油传递到活塞销，活塞销将润滑油传递到连杆衬套</t>
    <phoneticPr fontId="23" type="noConversion"/>
  </si>
  <si>
    <t>连杆体</t>
    <phoneticPr fontId="23" type="noConversion"/>
  </si>
  <si>
    <t>整机试装</t>
    <phoneticPr fontId="23" type="noConversion"/>
  </si>
  <si>
    <t>连杆小头底孔粗糙度低，导致衬套跟转</t>
    <phoneticPr fontId="23" type="noConversion"/>
  </si>
  <si>
    <t>参考Q/YC 745.1连杆设计规范选择粗糙度</t>
    <phoneticPr fontId="23" type="noConversion"/>
  </si>
  <si>
    <t>参考Q/YC 753.1轴瓦设计规范设计面压＜140Mpa</t>
    <phoneticPr fontId="23" type="noConversion"/>
  </si>
  <si>
    <t>参考Q/YC 753.1轴瓦设计规范选择人字形结构或者微笑型结构</t>
    <phoneticPr fontId="23" type="noConversion"/>
  </si>
  <si>
    <t>参考Q/YC 745.1连杆设计规范，控制圆柱度≤0.006mm</t>
    <phoneticPr fontId="23" type="noConversion"/>
  </si>
  <si>
    <t>参考Q/YC 745.1连杆设计规范设计连杆体（连杆螺栓）运动轨迹与机油液面间隙≥5mm</t>
    <phoneticPr fontId="23" type="noConversion"/>
  </si>
  <si>
    <t>活塞通过内冷油道的出油口（油孔角）将润滑油传递到连杆部件小头区域</t>
  </si>
  <si>
    <t>非功能要求：曲柄连杆模块分解给连杆部件的接口需求
要求：连杆部件运动轨迹与曲轴箱（含吸油盆）间距≥5mm</t>
  </si>
  <si>
    <t>非功能要求：曲柄连杆模块分解给连杆部件的接口需求
要求：连杆体（连杆螺栓）运动轨迹与曲轴箱（含吸油盆）间距≥5mm</t>
  </si>
  <si>
    <t>非功能要求：曲柄连杆模块分解给连杆部件的接口需求
要求：连杆部件运动轨迹与机油液面间隙≥5mm</t>
  </si>
  <si>
    <t>非功能要求：曲柄连杆模块分解给连杆部件的接口需求
要求：连杆体（连杆螺栓）运动轨迹与机油液面间隙≥5mm</t>
  </si>
  <si>
    <t>为满足曲柄连杆模块吸气、压缩、做功、排气冲程，连杆部件能稳定可靠的传递压力和承受拉力</t>
    <phoneticPr fontId="23" type="noConversion"/>
  </si>
  <si>
    <t>主要功能：为满足曲柄连杆模块吸气、压缩、做功、排气冲程，连杆部件能稳定可靠的传递压力和承受拉力
要求：连杆螺栓覆盖系数≥2</t>
    <phoneticPr fontId="23" type="noConversion"/>
  </si>
  <si>
    <t>非功能要求：曲柄连杆模块分解给连杆部件的接口需求
要求：连杆部件小头与活塞内腔轴向间隙≥2mm，与活塞内腔顶部≥5mm</t>
    <phoneticPr fontId="23" type="noConversion"/>
  </si>
  <si>
    <t>连杆部件小头与活塞内腔轴向间隙≥2mm，与活塞内腔顶部≥5mm</t>
    <phoneticPr fontId="23" type="noConversion"/>
  </si>
  <si>
    <t>非功能要求：曲柄连杆模块分解给连杆部件的接口需求
要求：连杆体小头宽度18mm，最大厚度7.95mm</t>
    <phoneticPr fontId="23" type="noConversion"/>
  </si>
  <si>
    <t>连杆体小头宽大＞18mm，最大厚度＞7.95mm</t>
    <phoneticPr fontId="23" type="noConversion"/>
  </si>
  <si>
    <t>参考Q/YC 745.1连杆设计规范设计连杆体（连杆螺栓）运动轨迹与曲轴箱（含吸油盆）间距≥5mm</t>
    <phoneticPr fontId="23" type="noConversion"/>
  </si>
  <si>
    <r>
      <t xml:space="preserve">Occurrence(O) of FC
</t>
    </r>
    <r>
      <rPr>
        <b/>
        <sz val="9"/>
        <color indexed="8"/>
        <rFont val="宋体"/>
        <charset val="134"/>
      </rPr>
      <t>失效起因的频度(O)</t>
    </r>
    <phoneticPr fontId="23" type="noConversion"/>
  </si>
  <si>
    <t>连杆体安全系数小于1.2，连杆体出现弯曲或裂纹</t>
    <phoneticPr fontId="23" type="noConversion"/>
  </si>
  <si>
    <t>内部接口</t>
    <phoneticPr fontId="23" type="noConversion"/>
  </si>
  <si>
    <t>物理连接：螺纹配合</t>
    <phoneticPr fontId="23" type="noConversion"/>
  </si>
  <si>
    <t>机械力传递：活塞销将向上的惯性拉力传递给连杆部件</t>
    <phoneticPr fontId="33" type="noConversion"/>
  </si>
  <si>
    <t>物理连接：连杆部件运动轨迹与曲轴箱间隙配合</t>
    <phoneticPr fontId="23" type="noConversion"/>
  </si>
  <si>
    <t>1-CAE仿真分析
2-连杆疲劳试验
3-整机2000h可靠性试验</t>
    <phoneticPr fontId="23" type="noConversion"/>
  </si>
  <si>
    <t>非功能要求：曲柄连杆模块分解给连杆部件的接口需求：
连杆部件与活塞的接口：
连杆部件小头与活塞内腔轴向间隙≥2mm，与活塞内腔顶部≥5mm</t>
    <phoneticPr fontId="23" type="noConversion"/>
  </si>
  <si>
    <t>非功能要求：曲柄连杆模块分解给连杆部件的接口需求：
连杆部件与曲轴的接口：
连杆部件小头两侧进油口的设计应能确保活塞内冷油道流出的机油能顺利进入</t>
    <phoneticPr fontId="23" type="noConversion"/>
  </si>
  <si>
    <t>连杆部件小头两侧进油口的设计未能让活塞内冷油道流出的机油能进入</t>
    <phoneticPr fontId="23" type="noConversion"/>
  </si>
  <si>
    <t>非功能要求：曲柄连杆模块分解给连杆部件的接口需求
要求：连杆部件小头两侧进油口的设计应能确保活塞内冷油道流出的机油能顺利进入</t>
    <phoneticPr fontId="23" type="noConversion"/>
  </si>
  <si>
    <t>曲柄连杆模块连杆部件小头与活塞内腔轴向间隙＜2mm，与活塞内腔顶部＜5mm</t>
    <phoneticPr fontId="23" type="noConversion"/>
  </si>
  <si>
    <t>曲柄连杆模块连杆部件小头两侧进油口的设计未能让活塞内冷油道流出的机油能进入</t>
    <phoneticPr fontId="23" type="noConversion"/>
  </si>
  <si>
    <t>参考Q/YC 745.1连杆设计规范：设计连杆体小头与活塞内腔轴向间隙≥2mm，与活塞内腔顶部≥5mm（连杆体小头宽度18mm，最大厚度7.95mm）</t>
    <phoneticPr fontId="23" type="noConversion"/>
  </si>
  <si>
    <t>整机2000h可靠性试验</t>
    <phoneticPr fontId="23" type="noConversion"/>
  </si>
  <si>
    <t>Detection (D) of FC /FM
失效起因/失效模式的探测度</t>
    <phoneticPr fontId="23" type="noConversion"/>
  </si>
  <si>
    <t>主要功能：为满足曲柄连杆模块吸气、压缩、做功、排气冲程，连杆部件能稳定可靠的传递压力和承受拉力
要求：连杆部件清洁度（含胀断面）控制需满足Q/YC-11标准</t>
    <phoneticPr fontId="23" type="noConversion"/>
  </si>
  <si>
    <t>连杆部件清洁度（含胀断面）超过Q/YC-11标准，导致轴瓦拉伤抱死</t>
    <phoneticPr fontId="23" type="noConversion"/>
  </si>
  <si>
    <t>参考连杆工程规范选择抗拉能力满足设计要求的材料70MnVS（C70S6BY），硬度260HBW~320HBW，同一连杆部件体干硬度差≤35HBW，屈服强度≥550N/mm2，抗拉强度≥950N/mm2，确保安全系数≥1.2</t>
    <phoneticPr fontId="23" type="noConversion"/>
  </si>
  <si>
    <t>曲柄连杆模块扭转振幅：单阶＞0.2 deg，合成阶＞0.5deg；</t>
    <phoneticPr fontId="23" type="noConversion"/>
  </si>
  <si>
    <t>连杆部件质心一致性差</t>
    <phoneticPr fontId="23" type="noConversion"/>
  </si>
  <si>
    <t>图纸设计参考K08一代，实物样件按照重量大小分组</t>
    <phoneticPr fontId="23" type="noConversion"/>
  </si>
  <si>
    <t>连杆部件大头胀断面位置超过在以设计面为中面的总宽4mm范围内，连杆体大小头对称度＞0.2</t>
    <phoneticPr fontId="23" type="noConversion"/>
  </si>
  <si>
    <t>图纸设计参考K08一代，设计连杆部件大头胀断面位置在以设计面为中面的总宽4mm范围内，连杆体大小头对称度≤0.2</t>
    <phoneticPr fontId="23" type="noConversion"/>
  </si>
  <si>
    <t>连杆体</t>
    <phoneticPr fontId="23" type="noConversion"/>
  </si>
  <si>
    <t>1、运动副随时间磨损：
连杆衬套与活塞销的间隙磨损≤1μm/100h</t>
    <phoneticPr fontId="23" type="noConversion"/>
  </si>
  <si>
    <t>非预期输出</t>
    <phoneticPr fontId="23" type="noConversion"/>
  </si>
  <si>
    <t>控制因素</t>
    <phoneticPr fontId="23" type="noConversion"/>
  </si>
  <si>
    <r>
      <t>1、连杆部件存在重量差，影响曲柄连杆模块扭转振幅：单阶≤0.2deg，合成阶≤0.5deg
2、连杆摆动时，对活塞产生侧向力，活塞对缸套产生侧压力，导致摩擦功增大：</t>
    </r>
    <r>
      <rPr>
        <sz val="11"/>
        <color indexed="51"/>
        <rFont val="SimSun"/>
        <charset val="134"/>
      </rPr>
      <t>TBD</t>
    </r>
    <phoneticPr fontId="23" type="noConversion"/>
  </si>
  <si>
    <t>连杆小头变形量＞TBD</t>
    <phoneticPr fontId="23" type="noConversion"/>
  </si>
  <si>
    <t>连杆部件与曲轴轴向间隙设计一定公差</t>
    <phoneticPr fontId="23" type="noConversion"/>
  </si>
  <si>
    <t>连杆部件衬套和活塞销径向间隙设计合理数值</t>
    <phoneticPr fontId="23" type="noConversion"/>
  </si>
  <si>
    <t>能传递一定的爆发压力，运动副间不发生抱死</t>
    <phoneticPr fontId="23" type="noConversion"/>
  </si>
  <si>
    <t>①上连杆轴瓦与连杆底孔过盈配合，上连杆轴瓦不发生滑移;②连杆部件与上连杆轴瓦定位唇定位</t>
    <phoneticPr fontId="23" type="noConversion"/>
  </si>
  <si>
    <t>①下连杆轴瓦与连杆底孔过盈配合，下连杆轴瓦不发生滑移;②连杆部件与下连杆轴瓦定位唇定位</t>
    <phoneticPr fontId="23" type="noConversion"/>
  </si>
  <si>
    <t>连杆体和连杆衬套设计合理的过盈量</t>
    <phoneticPr fontId="23" type="noConversion"/>
  </si>
  <si>
    <t>能传递机型最大的爆发压力，连杆衬套与连杆体不发生相对转动（连杆衬套背压＞10Mpa）</t>
    <phoneticPr fontId="23" type="noConversion"/>
  </si>
  <si>
    <t>连杆部件可将机型最大爆发压力传递给上连杆轴瓦，上连杆轴瓦不发生烧瓦</t>
    <phoneticPr fontId="23" type="noConversion"/>
  </si>
  <si>
    <t>连杆螺栓能够稳定地连接体干，可承受机型最大的拉力</t>
    <phoneticPr fontId="23" type="noConversion"/>
  </si>
  <si>
    <t>机械力传递：活塞销将爆发压力传递给连杆部件</t>
    <phoneticPr fontId="23" type="noConversion"/>
  </si>
  <si>
    <r>
      <t>1、</t>
    </r>
    <r>
      <rPr>
        <sz val="10"/>
        <color indexed="8"/>
        <rFont val="宋体"/>
        <charset val="134"/>
      </rPr>
      <t>螺栓能承受一定的拉力
2、连杆体大头在最大的拉力下，变形量＜TBD
3、连杆体小头在最大的拉力下，变形量＜TBD</t>
    </r>
    <phoneticPr fontId="33" type="noConversion"/>
  </si>
  <si>
    <t>机械力传递：连杆部件将爆发压力传递给上连杆轴瓦</t>
    <phoneticPr fontId="23" type="noConversion"/>
  </si>
  <si>
    <t>机械力传递：下连杆轴瓦将曲轴的动能传递给连杆部件</t>
    <phoneticPr fontId="23" type="noConversion"/>
  </si>
  <si>
    <t>机械力传递：连杆衬套将爆发压力传递给连杆体</t>
    <phoneticPr fontId="23" type="noConversion"/>
  </si>
  <si>
    <r>
      <t>螺栓覆盖系数满足≥2，确保连杆盖与连杆体紧密连接，</t>
    </r>
    <r>
      <rPr>
        <sz val="10"/>
        <color indexed="8"/>
        <rFont val="宋体"/>
        <charset val="134"/>
      </rPr>
      <t>螺纹粘合长度＞1.25*螺纹直直径</t>
    </r>
    <phoneticPr fontId="23" type="noConversion"/>
  </si>
  <si>
    <t>机械力传递：连杆体大头承受由惯性作用和离心作用形成的最大拉力，并将其传递至连杆螺栓</t>
    <phoneticPr fontId="23" type="noConversion"/>
  </si>
  <si>
    <t>低档下坡发动机超速</t>
    <phoneticPr fontId="23" type="noConversion"/>
  </si>
  <si>
    <t>1、润滑子系统清洁度对连杆部件（衬套表面工作质量）的影响，杂质颗粒度和质量需在一定限值范围内
2、连杆部件衬套/连杆小头需承受活塞销传递的机型最大压力
3、连杆部件大小头需承受活塞销传递的向上的最大惯性作用拉力
4、机油从活塞内冷油道两个出油口流出，经飞溅进入连杆部件小头两侧的进油口：活塞内冷油道两个出油口设计需对着连杆部件小头两侧的进油口</t>
    <phoneticPr fontId="23" type="noConversion"/>
  </si>
  <si>
    <r>
      <t xml:space="preserve">工作输入：
</t>
    </r>
    <r>
      <rPr>
        <sz val="11"/>
        <rFont val="宋体"/>
        <charset val="134"/>
      </rPr>
      <t>1、在缸内最大爆压下，连杆部件将承受最大压力。
2、由于曲柄连杆往复与旋转的惯性作用和离心作用，连杆部件将承受其形成的一定拉力
3、由于曲柄连杆往复与旋转的惯性作用和离心作用，连杆螺栓将承受一定的拉力</t>
    </r>
    <phoneticPr fontId="23" type="noConversion"/>
  </si>
  <si>
    <t>为满足曲柄连杆模块吸气、压缩、做功、排气冲程，连杆部件可传递发动机运行过程最大压力、和最大拉力，连杆体安全系数满足≥1.2，连杆大头变形量满足要求，连杆螺栓覆盖系数＞2</t>
    <phoneticPr fontId="23" type="noConversion"/>
  </si>
  <si>
    <t>连杆部件可传递发动机运行最大压力，连杆体安全系数满足≥1.2；在最大拉力下连杆大头变形量满足要求，连杆螺栓覆盖系数≥2</t>
    <phoneticPr fontId="23" type="noConversion"/>
  </si>
  <si>
    <t>主要功能：
1、连杆安全系数满足≥1.2，连杆部件衬套设计面压＜140Mpa，连杆部件衬套选择承压能力＞140Mpa的材料，连杆稳定性分析合格，连杆螺栓覆盖系数≥2，连杆小头变形量≤TBD，连杆大头变形量≤80%连杆轴瓦与轴颈间隙，连杆衬套背压＞10Mpa</t>
    <phoneticPr fontId="23" type="noConversion"/>
  </si>
  <si>
    <r>
      <rPr>
        <b/>
        <sz val="11"/>
        <color indexed="8"/>
        <rFont val="宋体"/>
        <charset val="134"/>
      </rPr>
      <t>曲柄连杆模块分解给连杆部件的接口需求</t>
    </r>
    <r>
      <rPr>
        <sz val="11"/>
        <color indexed="8"/>
        <rFont val="宋体"/>
        <charset val="134"/>
      </rPr>
      <t xml:space="preserve">
</t>
    </r>
    <r>
      <rPr>
        <b/>
        <sz val="11"/>
        <color indexed="8"/>
        <rFont val="宋体"/>
        <charset val="134"/>
      </rPr>
      <t>1、连杆部件和活塞销接口：</t>
    </r>
    <r>
      <rPr>
        <sz val="11"/>
        <color indexed="8"/>
        <rFont val="宋体"/>
        <charset val="134"/>
      </rPr>
      <t xml:space="preserve">
径向间隙TBD（活塞销和连杆部件小头衬套内径设计合理的数值）
</t>
    </r>
    <r>
      <rPr>
        <b/>
        <sz val="11"/>
        <color indexed="8"/>
        <rFont val="宋体"/>
        <charset val="134"/>
      </rPr>
      <t>2、连杆部件与曲轴的接口：</t>
    </r>
    <r>
      <rPr>
        <sz val="11"/>
        <color indexed="8"/>
        <rFont val="宋体"/>
        <charset val="134"/>
      </rPr>
      <t xml:space="preserve">
连杆部件与曲轴轴向间隙TBD：连杆大头宽度和端面外侧直径设计合理的数值</t>
    </r>
    <r>
      <rPr>
        <b/>
        <sz val="11"/>
        <color indexed="8"/>
        <rFont val="宋体"/>
        <charset val="134"/>
      </rPr>
      <t xml:space="preserve">
3、连杆部件和整机框架子系统</t>
    </r>
    <r>
      <rPr>
        <sz val="11"/>
        <color indexed="8"/>
        <rFont val="宋体"/>
        <charset val="134"/>
      </rPr>
      <t xml:space="preserve">：
连杆部件运动轨迹与曲轴箱（含吸油盆）间距≥5mm：
</t>
    </r>
    <r>
      <rPr>
        <b/>
        <sz val="11"/>
        <color indexed="8"/>
        <rFont val="宋体"/>
        <charset val="134"/>
      </rPr>
      <t>4、连杆部件和润滑子系统：</t>
    </r>
    <r>
      <rPr>
        <sz val="11"/>
        <color indexed="8"/>
        <rFont val="宋体"/>
        <charset val="134"/>
      </rPr>
      <t xml:space="preserve">
连杆部件运动轨迹与机油液面间隙≥5mm
</t>
    </r>
    <r>
      <rPr>
        <b/>
        <sz val="11"/>
        <color indexed="8"/>
        <rFont val="宋体"/>
        <charset val="134"/>
      </rPr>
      <t>5、连杆部件和缸盖子系统：</t>
    </r>
    <r>
      <rPr>
        <sz val="11"/>
        <color indexed="8"/>
        <rFont val="宋体"/>
        <charset val="134"/>
      </rPr>
      <t xml:space="preserve">
活塞与缸盖最小间隙TBD，对应要求曲柄连杆最大轴向（缸套轴向方向）长度设计个里的数值
</t>
    </r>
    <r>
      <rPr>
        <b/>
        <sz val="11"/>
        <color indexed="8"/>
        <rFont val="宋体"/>
        <charset val="134"/>
      </rPr>
      <t>6、连杆部件和活塞的接口：</t>
    </r>
    <r>
      <rPr>
        <sz val="11"/>
        <color indexed="8"/>
        <rFont val="宋体"/>
        <charset val="134"/>
      </rPr>
      <t xml:space="preserve">
连杆部件小头与活塞内腔轴向间隙≥2mm，与活塞内腔顶部≥5mm：连杆体小头宽度18mm，最大厚度7.95mm
</t>
    </r>
    <r>
      <rPr>
        <b/>
        <sz val="11"/>
        <color indexed="8"/>
        <rFont val="宋体"/>
        <charset val="134"/>
      </rPr>
      <t xml:space="preserve">7、连杆部件和活塞的接口：
</t>
    </r>
    <r>
      <rPr>
        <sz val="11"/>
        <color indexed="8"/>
        <rFont val="宋体"/>
        <charset val="134"/>
      </rPr>
      <t>连杆部件小头两侧进油口的设计应能确保活塞内冷油道流出的机油能顺利进入：连杆体小头两侧油孔角度设计需合理（如有）</t>
    </r>
    <phoneticPr fontId="23" type="noConversion"/>
  </si>
  <si>
    <t>非功能要求：
1、活塞销外径控制，连杆部件小头衬套内径控制
2、连杆大头宽度控制，端面外侧直径控制
3、连杆体（连杆螺栓）运动轨迹与曲轴箱（含吸油盆）间距≥5mm
4、连杆体（连杆螺栓）运动轨迹与机油液面间隙≥5mm
5、连杆体长度公差控制
6、连杆体小头宽度和最大厚度控制</t>
    <phoneticPr fontId="23" type="noConversion"/>
  </si>
  <si>
    <r>
      <t xml:space="preserve">1、影响压缩余隙与压缩比：
</t>
    </r>
    <r>
      <rPr>
        <sz val="11"/>
        <color indexed="8"/>
        <rFont val="宋体"/>
        <charset val="134"/>
      </rPr>
      <t>连杆部件长度加工公差控制
2、同一台套各缸连杆部件重量偏差控制
3、连杆部件体干硬度偏差控制，同一连杆部件体干硬度偏差控制，屈服强度和抗拉强度需满足一定要求
4、装配工艺控制
5、影响连杆部件质心的一致性：
连杆部件大头胀断面位置要求在以设计面为中面的总宽4mm范围内，连杆体大小头对称度≤0.2</t>
    </r>
    <phoneticPr fontId="23" type="noConversion"/>
  </si>
  <si>
    <t>满足结构件可靠性指标要求：
1）曲柄连杆模块结构件：疲劳寿命＞10^7次；强度安全系数≥1.2；
2）曲柄连杆模块清洁度控制：杂质颗粒度和杂质质量控制在一定范围内</t>
    <phoneticPr fontId="23" type="noConversion"/>
  </si>
  <si>
    <t>主要功能：为满足曲柄连杆模块吸气、压缩、做功、排气冲程，连杆部件能稳定可靠的传递压力和承受拉力
要求：
连杆部件可传递发动机运行最大压力，连杆体安全系数满足≥1.2；在最大拉力下连杆大头变形量满足要求，连杆螺栓覆盖系数≥2</t>
    <phoneticPr fontId="23" type="noConversion"/>
  </si>
  <si>
    <t>曲柄连杆模块结构件：疲劳寿命＜10^7次；强度安全系数＜1.2；
2）曲柄连杆模块清洁度控制：杂质颗粒度和杂质质量控制在一定范围内</t>
    <phoneticPr fontId="23" type="noConversion"/>
  </si>
  <si>
    <t>主要功能：为满足曲柄连杆模块吸气、压缩、做功、排气冲程，连杆部件能稳定可靠的传递压力和承受拉力
要求：支持活塞销，贮存机油，减少连杆小头和活塞销之间的摩擦：连杆部件衬套设计面压＜140Mpa</t>
    <phoneticPr fontId="23" type="noConversion"/>
  </si>
  <si>
    <t>连杆部件无法传递最大压力，连杆体安全系数满足小于1.2；最大拉力下连杆小头变形量＞TBD，连杆大头变形量＞80%连杆轴瓦与轴颈间隙，连杆螺栓覆盖系数＜2</t>
    <phoneticPr fontId="23" type="noConversion"/>
  </si>
  <si>
    <t>参考Q/YC 745.1连杆设计规范设计结构（杆身厚度，截面积，大头壁厚、小头壁厚），确保安全系数≥1.2</t>
    <phoneticPr fontId="23" type="noConversion"/>
  </si>
  <si>
    <t>参考Q/YC 745.1连杆设计规范设计结构(小头壁厚），连杆小头变形量≤TBD</t>
    <phoneticPr fontId="23" type="noConversion"/>
  </si>
  <si>
    <t>主要功能：主要功能：为满足曲柄连杆模块吸气、压缩、做功、排气冲程，连杆部件能稳定可靠的传递压力和承受拉力
要求：连接活塞与曲轴，转化往复运动为旋转运动：连杆体材料硬度260HBW~320HBW，同一连杆部件体干硬度差≤35HBW，屈服强度≥550N/mm2，抗拉强度≥950N/mm2，安全系数≥1.2，连杆小头变形量≤TBD，连杆大头变形量≤80%连杆轴瓦与轴颈间隙</t>
    <phoneticPr fontId="23" type="noConversion"/>
  </si>
  <si>
    <t>连杆大头变形量＞80%连杆轴瓦与轴颈间隙</t>
    <phoneticPr fontId="23" type="noConversion"/>
  </si>
  <si>
    <r>
      <t>参考Q/YC 745.1连杆设计规范设计结构(大头厚度），连杆大头变形量≤</t>
    </r>
    <r>
      <rPr>
        <sz val="9"/>
        <rFont val="宋体"/>
        <charset val="134"/>
      </rPr>
      <t>80%</t>
    </r>
    <r>
      <rPr>
        <sz val="9"/>
        <rFont val="宋体"/>
        <charset val="134"/>
      </rPr>
      <t>连杆轴瓦与轴颈间隙</t>
    </r>
    <phoneticPr fontId="23" type="noConversion"/>
  </si>
  <si>
    <t>参考Q/YC 753.1轴瓦设计规范设计过盈量，选择合理的衬套外径，背压＞10Mpa</t>
    <phoneticPr fontId="23" type="noConversion"/>
  </si>
  <si>
    <t>连杆衬套承压面积小，导致衬套面压过大磨损</t>
    <phoneticPr fontId="23" type="noConversion"/>
  </si>
  <si>
    <t>选择承压能力＞140Mpa的材料，硬度（130~180）HBW，内表面粗糙度Ra≤3.2</t>
    <phoneticPr fontId="23" type="noConversion"/>
  </si>
  <si>
    <t>参考Q/YC 745.1连杆设计规范，配合间隙设计</t>
    <phoneticPr fontId="23" type="noConversion"/>
  </si>
  <si>
    <t>参考Q/YC 745.1连杆设计规范设计衬套厚度</t>
    <phoneticPr fontId="23" type="noConversion"/>
  </si>
  <si>
    <t>拧紧工艺测试：按照要求工艺做拧紧工艺测试，确保螺栓轴力满足规定需求</t>
    <phoneticPr fontId="23" type="noConversion"/>
  </si>
  <si>
    <t>1-拧紧工艺试验
2、复圆度试验
3-整机2000h可靠性试验</t>
    <phoneticPr fontId="23" type="noConversion"/>
  </si>
  <si>
    <r>
      <rPr>
        <b/>
        <sz val="11"/>
        <color indexed="8"/>
        <rFont val="宋体"/>
        <charset val="134"/>
      </rPr>
      <t xml:space="preserve">连杆部件内部接口控制（连杆小头底孔-连杆衬套）：
</t>
    </r>
    <r>
      <rPr>
        <sz val="11"/>
        <color indexed="8"/>
        <rFont val="宋体"/>
        <charset val="134"/>
      </rPr>
      <t xml:space="preserve">能传递最大爆压下的压力，并在要求的过盈量（连杆小头底孔直径和连杆衬套外径选择合理的尺寸）下可装配且无相对转动，衬套外表面粗糙度Ra0.8
</t>
    </r>
    <r>
      <rPr>
        <b/>
        <sz val="11"/>
        <color indexed="8"/>
        <rFont val="宋体"/>
        <charset val="134"/>
      </rPr>
      <t>连杆部件内部接口控制（连杆体-连杆螺栓）：</t>
    </r>
    <r>
      <rPr>
        <sz val="11"/>
        <color indexed="8"/>
        <rFont val="宋体"/>
        <charset val="134"/>
      </rPr>
      <t xml:space="preserve">
螺纹配合（连杆螺栓和连杆体螺纹孔需匹配合理），并满足曲轴旋转惯性力向连杆部件传递（1.3倍超速试验）
</t>
    </r>
    <r>
      <rPr>
        <b/>
        <sz val="11"/>
        <color indexed="8"/>
        <rFont val="宋体"/>
        <charset val="134"/>
      </rPr>
      <t>连杆部件内部接口控制（连杆体内部尺寸）：</t>
    </r>
    <r>
      <rPr>
        <sz val="11"/>
        <color indexed="8"/>
        <rFont val="宋体"/>
        <charset val="134"/>
      </rPr>
      <t xml:space="preserve">
连杆螺栓螺纹孔与连杆大头内孔最小距离≥2mm</t>
    </r>
    <phoneticPr fontId="23" type="noConversion"/>
  </si>
  <si>
    <t>非预期输出：
1、连杆部件存在重量差，影响曲柄连杆模块扭转振幅：单阶≤0.2 deg，合成阶≤0.5deg：
连杆部件重量公差控制，重量按照差异≤10g分组，同一台套各缸连杆部件需为同一组；连杆部件质心需保持一致性（连杆部件大头胀断面位置要求在以设计面为中面的总宽4mm范围内，连杆体对称度≤0.5）
2、连杆摆角时，对活塞产生侧向力，活塞对缸套产生侧压力，导致摩擦功增大
连杆比λ(曲柄半径/连杆长)TBD，连杆长度TBD</t>
    <phoneticPr fontId="23" type="noConversion"/>
  </si>
  <si>
    <t>非功能要求：曲柄连杆模块分解给连杆部件的接口需求：连杆部件和活塞销接口：间隙TBD（活塞销和连杆部件小头衬套内径设计合理数值）</t>
    <phoneticPr fontId="23" type="noConversion"/>
  </si>
  <si>
    <t>非功能要求：曲柄连杆模块分解给连杆部件的接口需求
要求：连杆部件和活塞销间隙TBD</t>
    <phoneticPr fontId="23" type="noConversion"/>
  </si>
  <si>
    <t>非功能要求：曲柄连杆模块分解给连杆部件的接口需求
要求：连杆衬套内径设计合理数值</t>
    <phoneticPr fontId="23" type="noConversion"/>
  </si>
  <si>
    <t>曲柄连杆模块接口：连杆部件与活塞销间隙不满足要求</t>
    <phoneticPr fontId="23" type="noConversion"/>
  </si>
  <si>
    <t>连杆部件与活塞销间隙不满足要求</t>
    <phoneticPr fontId="23" type="noConversion"/>
  </si>
  <si>
    <t>连杆衬套内径不满足规定区间要求</t>
    <phoneticPr fontId="23" type="noConversion"/>
  </si>
  <si>
    <t>参考Q/YC 745.1连杆设计规范：连杆衬套与活塞销间隙</t>
    <phoneticPr fontId="23" type="noConversion"/>
  </si>
  <si>
    <t>非功能要求：曲柄连杆模块分解给连杆部件的接口需求：连杆部件与曲轴接口：连杆部件与曲轴轴向间隙设计一定数值，端面外侧直径控制</t>
    <phoneticPr fontId="23" type="noConversion"/>
  </si>
  <si>
    <t>非功能要求：曲柄连杆模块分解给连杆部件的接口需求
要求：连杆部件与曲轴轴向间隙设计一定数值，端面外侧直径控制</t>
    <phoneticPr fontId="23" type="noConversion"/>
  </si>
  <si>
    <t>非功能要求：曲柄连杆模块分解给连杆部件的接口需求
要求：连杆体大头宽度合理设计，端面外侧直径合理设计</t>
    <phoneticPr fontId="23" type="noConversion"/>
  </si>
  <si>
    <t>曲柄连杆模块接口：连杆部件与曲轴间隙偏小，端面外侧直径大于曲轴端面直径，引起连杆大头端面与曲轴异常磨损</t>
    <phoneticPr fontId="23" type="noConversion"/>
  </si>
  <si>
    <t>曲柄连杆模块接口：连杆部件与曲轴间隙偏大，端面外侧直径大于曲轴端面直径，引起曲柄连杆轴向摆动</t>
    <phoneticPr fontId="23" type="noConversion"/>
  </si>
  <si>
    <t>连杆部件与曲轴间隙偏小，或端面外侧直径偏小，引起连杆大头端面与曲轴异常磨损</t>
    <phoneticPr fontId="23" type="noConversion"/>
  </si>
  <si>
    <t>连杆部件与曲轴间隙偏大，或端面外侧直径偏大，引起连杆大头端面与曲轴异常磨损</t>
    <phoneticPr fontId="23" type="noConversion"/>
  </si>
  <si>
    <t>连杆体大头宽度偏小，或端面外侧直径偏小</t>
    <phoneticPr fontId="23" type="noConversion"/>
  </si>
  <si>
    <t>连杆体大头宽度偏大，或端面外侧直径偏大</t>
    <phoneticPr fontId="23" type="noConversion"/>
  </si>
  <si>
    <t>参考Q/YC 745.1连杆设计规范设计连杆体与曲轴轴向间隙，连杆大头宽度和端面外侧直径合理设计</t>
    <phoneticPr fontId="23" type="noConversion"/>
  </si>
  <si>
    <t>非功能要求：曲柄连杆模块分解给连杆部件的接口需求：
曲柄连杆模块和缸盖子系统：
活塞与缸盖最小间隙TBD，对应曲柄连杆最大轴向（缸套轴向方向）长度TBD
要求：连杆长度公差控制</t>
    <phoneticPr fontId="23" type="noConversion"/>
  </si>
  <si>
    <t>非功能要求：曲柄连杆模块分解给连杆部件的接口需求
要求：连杆部件长度公差控制</t>
    <phoneticPr fontId="23" type="noConversion"/>
  </si>
  <si>
    <t>非功能要求：曲柄连杆模块分解给连杆部件的接口需求
要求：连杆体长度公差控制</t>
    <phoneticPr fontId="23" type="noConversion"/>
  </si>
  <si>
    <t>曲柄连杆最大轴向（缸套轴向方向）长度超过要求范围</t>
    <phoneticPr fontId="23" type="noConversion"/>
  </si>
  <si>
    <t>连杆长度偏大或偏小</t>
    <phoneticPr fontId="23" type="noConversion"/>
  </si>
  <si>
    <t>非功能要求：曲柄连杆模块分解给连杆部件的接口需求
要求：连杆体小头两侧油孔角度合理设计</t>
    <phoneticPr fontId="23" type="noConversion"/>
  </si>
  <si>
    <t>连杆体小头两侧油孔角度偏大或偏小</t>
    <phoneticPr fontId="23" type="noConversion"/>
  </si>
  <si>
    <t>参考Q/YC 745.1连杆设计规范：设计连杆部件小头两侧进油口确保对着活塞出油口（连杆体小头两侧油孔角度</t>
    <phoneticPr fontId="23" type="noConversion"/>
  </si>
  <si>
    <t>非预期输出：
1、曲柄连杆模块扭转振幅：单阶≤0.2 deg，合成阶≤0.5deg；（连杆部件不同发动机重量差异≤100g，同一台套差异≤10g）
2、曲柄连杆模块摩擦功在标定点≤TBD</t>
    <phoneticPr fontId="23" type="noConversion"/>
  </si>
  <si>
    <r>
      <t>非预期输出：
1、曲柄连杆模块扭转振幅：单阶≤0.2 deg，合成阶≤0.5deg；
2、曲柄连杆模块摩擦功在标定点≤TBD
要求：连杆部件重量设计合理公差</t>
    </r>
    <r>
      <rPr>
        <sz val="9"/>
        <rFont val="宋体"/>
        <charset val="134"/>
      </rPr>
      <t>，重量按照差异≤</t>
    </r>
    <r>
      <rPr>
        <sz val="9"/>
        <rFont val="宋体"/>
        <charset val="134"/>
      </rPr>
      <t>10g</t>
    </r>
    <r>
      <rPr>
        <sz val="9"/>
        <rFont val="宋体"/>
        <charset val="134"/>
      </rPr>
      <t>分组，同一台套各缸连杆部件需为同一组</t>
    </r>
    <phoneticPr fontId="23" type="noConversion"/>
  </si>
  <si>
    <r>
      <t>非预期输出：
1、曲柄连杆模块扭转振幅：单阶≤0.2 deg，合成阶≤0.5deg；
2、曲柄连杆模块摩擦功在标定点≤TBD
要求：连杆体重量TBD</t>
    </r>
    <r>
      <rPr>
        <sz val="9"/>
        <rFont val="宋体"/>
        <charset val="134"/>
      </rPr>
      <t>，重量差异≤</t>
    </r>
    <r>
      <rPr>
        <sz val="9"/>
        <rFont val="宋体"/>
        <charset val="134"/>
      </rPr>
      <t>10g</t>
    </r>
    <phoneticPr fontId="23" type="noConversion"/>
  </si>
  <si>
    <r>
      <t>连杆部件重量超出公差范围</t>
    </r>
    <r>
      <rPr>
        <sz val="9"/>
        <rFont val="宋体"/>
        <charset val="134"/>
      </rPr>
      <t>，同一台套重量差异＞10g</t>
    </r>
    <phoneticPr fontId="23" type="noConversion"/>
  </si>
  <si>
    <t>连杆体重量差异超出公差范围，导致连杆部件不同发动机重量差异＞100g，同一台套差异＞10g</t>
    <phoneticPr fontId="23" type="noConversion"/>
  </si>
  <si>
    <t>非预期输出：
1、曲柄连杆模块扭转振幅：单阶≤0.2 deg，合成阶≤0.5deg；
2、曲柄连杆模块摩擦功在标定点≤TBD
要求：连杆部件质心需保持一致性（连杆部件大头胀断面位置要求在以设计面为中面的总宽4mm范围内，连杆体大小头对称度≤0.2）</t>
    <phoneticPr fontId="23" type="noConversion"/>
  </si>
  <si>
    <t>非预期输出：
1、曲柄连杆模块扭转振幅：单阶≤0.2 deg，合成阶≤0.5deg；
2、曲柄连杆模块摩擦功在标定点≤TBD
要求：连杆部件大头胀断面位置要求在以设计面为中面的总宽4mm范围内，连杆体大小头对称度≤0.2</t>
    <phoneticPr fontId="23" type="noConversion"/>
  </si>
  <si>
    <r>
      <t>非预期输出：
1、曲柄连杆模块扭转振幅：单阶≤0.2 deg，合成阶≤0.5deg；
2、曲柄连杆模块摩擦功在标定点≤TBD</t>
    </r>
    <r>
      <rPr>
        <sz val="9"/>
        <rFont val="宋体"/>
        <charset val="134"/>
      </rPr>
      <t xml:space="preserve">
要求：连杆部件摆角时，对活塞产生侧向力，活塞对缸套产生侧向力，导致摩擦功增大</t>
    </r>
    <phoneticPr fontId="23" type="noConversion"/>
  </si>
  <si>
    <r>
      <t xml:space="preserve">非预期输出：
1、曲柄连杆模块扭转振幅：单阶≤0.2 deg，合成阶≤0.5deg；
2、曲柄连杆模块摩擦功在标定点≤TBD </t>
    </r>
    <r>
      <rPr>
        <sz val="9"/>
        <rFont val="宋体"/>
        <charset val="134"/>
      </rPr>
      <t xml:space="preserve">
要求：连杆比λ（曲柄半径/连杆长）设计合理</t>
    </r>
    <phoneticPr fontId="23" type="noConversion"/>
  </si>
  <si>
    <r>
      <rPr>
        <sz val="9"/>
        <rFont val="宋体"/>
        <charset val="134"/>
      </rPr>
      <t>曲柄连杆模块摩擦功在标定点＞</t>
    </r>
    <r>
      <rPr>
        <sz val="9"/>
        <rFont val="Arial"/>
        <family val="2"/>
      </rPr>
      <t>TBD</t>
    </r>
    <phoneticPr fontId="23" type="noConversion"/>
  </si>
  <si>
    <r>
      <rPr>
        <sz val="9"/>
        <rFont val="宋体"/>
        <charset val="134"/>
      </rPr>
      <t>连杆比</t>
    </r>
    <r>
      <rPr>
        <sz val="9"/>
        <rFont val="Arial"/>
        <family val="2"/>
      </rPr>
      <t>λ</t>
    </r>
    <r>
      <rPr>
        <sz val="9"/>
        <rFont val="宋体"/>
        <charset val="134"/>
      </rPr>
      <t>（曲柄半径</t>
    </r>
    <r>
      <rPr>
        <sz val="9"/>
        <rFont val="Arial"/>
        <family val="2"/>
      </rPr>
      <t>/</t>
    </r>
    <r>
      <rPr>
        <sz val="9"/>
        <rFont val="宋体"/>
        <charset val="134"/>
      </rPr>
      <t>连杆长）偏大</t>
    </r>
    <phoneticPr fontId="23" type="noConversion"/>
  </si>
  <si>
    <r>
      <t>1</t>
    </r>
    <r>
      <rPr>
        <sz val="9"/>
        <rFont val="宋体"/>
        <charset val="134"/>
      </rPr>
      <t>、参考</t>
    </r>
    <r>
      <rPr>
        <sz val="9"/>
        <rFont val="Arial"/>
        <family val="2"/>
      </rPr>
      <t>Q/YC 745.1</t>
    </r>
    <r>
      <rPr>
        <sz val="9"/>
        <rFont val="宋体"/>
        <charset val="134"/>
      </rPr>
      <t>连杆设计规范设计连杆比</t>
    </r>
    <r>
      <rPr>
        <sz val="9"/>
        <rFont val="Arial"/>
        <family val="2"/>
      </rPr>
      <t>λ(</t>
    </r>
    <r>
      <rPr>
        <sz val="9"/>
        <rFont val="宋体"/>
        <charset val="134"/>
      </rPr>
      <t>曲柄半径</t>
    </r>
    <r>
      <rPr>
        <sz val="9"/>
        <rFont val="Arial"/>
        <family val="2"/>
      </rPr>
      <t>/</t>
    </r>
    <r>
      <rPr>
        <sz val="9"/>
        <rFont val="宋体"/>
        <charset val="134"/>
      </rPr>
      <t>连杆长</t>
    </r>
    <r>
      <rPr>
        <sz val="9"/>
        <rFont val="Arial"/>
        <family val="2"/>
      </rPr>
      <t>)</t>
    </r>
    <r>
      <rPr>
        <sz val="9"/>
        <rFont val="宋体"/>
        <charset val="134"/>
      </rPr>
      <t xml:space="preserve">
</t>
    </r>
    <r>
      <rPr>
        <sz val="9"/>
        <rFont val="Arial"/>
        <family val="2"/>
      </rPr>
      <t>2</t>
    </r>
    <r>
      <rPr>
        <sz val="9"/>
        <rFont val="宋体"/>
        <charset val="134"/>
      </rPr>
      <t>、</t>
    </r>
    <r>
      <rPr>
        <sz val="9"/>
        <rFont val="Arial"/>
        <family val="2"/>
      </rPr>
      <t>CAE</t>
    </r>
    <r>
      <rPr>
        <sz val="9"/>
        <rFont val="宋体"/>
        <charset val="134"/>
      </rPr>
      <t>分析</t>
    </r>
    <phoneticPr fontId="23" type="noConversion"/>
  </si>
  <si>
    <r>
      <rPr>
        <b/>
        <sz val="11"/>
        <color indexed="8"/>
        <rFont val="SimSun"/>
        <charset val="134"/>
      </rPr>
      <t>噪音1：</t>
    </r>
    <r>
      <rPr>
        <sz val="11"/>
        <color indexed="8"/>
        <rFont val="SimSun"/>
        <charset val="134"/>
      </rPr>
      <t xml:space="preserve">
1、连杆体长度控制公差
2、连杆部件重量控制公差，同一台套各缸连杆部件各缸重量差小于一定值
3、连杆体材料选择70MnVS（C70S6BY）：硬度260HBW~320HBW，同一连杆部件体干硬度差≤35HBW，屈服强度≥550N/mm2，抗拉强度≥950N/mm2
4、连杆螺栓拧紧装配工艺控制
5、连杆部件大头胀断面位置要求在以设计面为中面的总宽4mm范围内，连杆体大小头对称度≤0.2
</t>
    </r>
    <r>
      <rPr>
        <b/>
        <sz val="11"/>
        <color indexed="8"/>
        <rFont val="SimSun"/>
        <charset val="134"/>
      </rPr>
      <t>噪音2：</t>
    </r>
    <r>
      <rPr>
        <sz val="11"/>
        <color indexed="8"/>
        <rFont val="SimSun"/>
        <charset val="134"/>
      </rPr>
      <t xml:space="preserve">
1、连杆部件衬套硬度控制公差
2、连杆部件衬套内表面粗糙度Ra≤3.2
3、连杆部件衬套参考曲柄连杆开发规范选择是否有油槽以及油槽结构
4、连杆部件衬套参照Q/YC 745.1连杆设计规范，控制圆柱度≤0.006mm
</t>
    </r>
    <r>
      <rPr>
        <b/>
        <sz val="11"/>
        <color indexed="8"/>
        <rFont val="SimSun"/>
        <charset val="134"/>
      </rPr>
      <t>噪音3：</t>
    </r>
    <r>
      <rPr>
        <sz val="11"/>
        <color indexed="8"/>
        <rFont val="SimSun"/>
        <charset val="134"/>
      </rPr>
      <t xml:space="preserve">
连杆部件大头运动副变形量≤80%连杆轴瓦与轴颈间隙，要求连杆部件体干硬度260HBW~320HBW，同一连杆部件体干硬度差≤35HBW，屈服强度≥550N/mm2，抗拉强度≥950N/mm2
</t>
    </r>
    <r>
      <rPr>
        <b/>
        <sz val="11"/>
        <color indexed="8"/>
        <rFont val="SimSun"/>
        <charset val="134"/>
      </rPr>
      <t>噪音4：</t>
    </r>
    <r>
      <rPr>
        <sz val="11"/>
        <color indexed="8"/>
        <rFont val="SimSun"/>
        <charset val="134"/>
      </rPr>
      <t xml:space="preserve">
无
</t>
    </r>
    <r>
      <rPr>
        <b/>
        <sz val="11"/>
        <color indexed="8"/>
        <rFont val="SimSun"/>
        <charset val="134"/>
      </rPr>
      <t>噪音5：</t>
    </r>
    <r>
      <rPr>
        <sz val="11"/>
        <color indexed="8"/>
        <rFont val="SimSun"/>
        <charset val="134"/>
      </rPr>
      <t xml:space="preserve">
1、连杆部件清洁度（含胀断面）控制需满足Q/YC-11标准
2、连杆部件衬套/连杆小头承受活塞销传递的发动机运行最大压力，要求杆身厚度及截面积设计合理数值
3、连杆部件大小头可承受连杆轴瓦传递的曲轴惯性作用和离心作用形成的压力最大，要求大小头设计合理的壁厚</t>
    </r>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</si>
</sst>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m/d;@"/>
  </numFmts>
  <fonts count="92">
    <font>
      <sz val="11"/>
      <color theme="1"/>
      <name val="宋体"/>
      <charset val="134"/>
      <scheme val="minor"/>
    </font>
    <font>
      <sz val="9"/>
      <name val="Arial"/>
      <family val="2"/>
    </font>
    <font>
      <sz val="9"/>
      <name val="宋体"/>
      <charset val="134"/>
    </font>
    <font>
      <b/>
      <sz val="10"/>
      <name val="宋体"/>
      <charset val="134"/>
    </font>
    <font>
      <b/>
      <sz val="10"/>
      <name val="Arial"/>
      <family val="2"/>
    </font>
    <font>
      <sz val="10"/>
      <name val="宋体"/>
      <charset val="134"/>
    </font>
    <font>
      <b/>
      <sz val="9"/>
      <name val="Arial"/>
      <family val="2"/>
    </font>
    <font>
      <sz val="9"/>
      <color indexed="8"/>
      <name val="Arial"/>
      <family val="2"/>
    </font>
    <font>
      <sz val="12"/>
      <color indexed="8"/>
      <name val="宋体"/>
      <charset val="134"/>
    </font>
    <font>
      <sz val="11"/>
      <name val="Arial"/>
      <family val="2"/>
    </font>
    <font>
      <sz val="10"/>
      <name val="Arial"/>
      <family val="2"/>
    </font>
    <font>
      <b/>
      <sz val="12"/>
      <name val="宋体"/>
      <charset val="134"/>
    </font>
    <font>
      <b/>
      <sz val="14"/>
      <name val="宋体"/>
      <charset val="134"/>
    </font>
    <font>
      <sz val="11"/>
      <color indexed="20"/>
      <name val="宋体"/>
      <charset val="134"/>
    </font>
    <font>
      <sz val="11"/>
      <color indexed="8"/>
      <name val="宋体"/>
      <charset val="134"/>
    </font>
    <font>
      <u/>
      <sz val="11"/>
      <color indexed="12"/>
      <name val="宋体"/>
      <charset val="134"/>
    </font>
    <font>
      <sz val="11"/>
      <color indexed="17"/>
      <name val="宋体"/>
      <charset val="134"/>
    </font>
    <font>
      <b/>
      <sz val="9"/>
      <color indexed="8"/>
      <name val="宋体"/>
      <charset val="134"/>
    </font>
    <font>
      <sz val="9"/>
      <color indexed="10"/>
      <name val="宋体"/>
      <charset val="134"/>
    </font>
    <font>
      <b/>
      <sz val="9"/>
      <color indexed="8"/>
      <name val="Arial"/>
      <family val="2"/>
    </font>
    <font>
      <sz val="9"/>
      <color indexed="8"/>
      <name val="宋体"/>
      <charset val="134"/>
    </font>
    <font>
      <sz val="12"/>
      <color indexed="13"/>
      <name val="宋体"/>
      <charset val="134"/>
    </font>
    <font>
      <b/>
      <sz val="12"/>
      <name val="Constantia"/>
      <family val="1"/>
    </font>
    <font>
      <sz val="9"/>
      <name val="宋体"/>
      <charset val="134"/>
    </font>
    <font>
      <sz val="9"/>
      <name val="宋体"/>
      <charset val="134"/>
    </font>
    <font>
      <sz val="10"/>
      <name val="宋体"/>
      <charset val="134"/>
    </font>
    <font>
      <sz val="11"/>
      <name val="宋体"/>
      <charset val="134"/>
    </font>
    <font>
      <sz val="11"/>
      <name val="SimSun"/>
      <charset val="134"/>
    </font>
    <font>
      <sz val="9"/>
      <name val="宋体"/>
      <charset val="134"/>
    </font>
    <font>
      <sz val="9"/>
      <name val="宋体"/>
      <charset val="134"/>
    </font>
    <font>
      <sz val="9"/>
      <name val="宋体"/>
      <charset val="134"/>
    </font>
    <font>
      <sz val="10"/>
      <name val="宋体"/>
      <charset val="134"/>
    </font>
    <font>
      <sz val="9"/>
      <name val="宋体"/>
      <charset val="134"/>
    </font>
    <font>
      <sz val="9"/>
      <name val="宋体"/>
      <charset val="134"/>
    </font>
    <font>
      <sz val="11"/>
      <color indexed="51"/>
      <name val="SimSun"/>
      <charset val="134"/>
    </font>
    <font>
      <b/>
      <sz val="11"/>
      <color indexed="8"/>
      <name val="SimSun"/>
      <charset val="134"/>
    </font>
    <font>
      <sz val="11"/>
      <color indexed="8"/>
      <name val="SimSun"/>
      <charset val="134"/>
    </font>
    <font>
      <sz val="10"/>
      <color indexed="8"/>
      <name val="宋体"/>
      <charset val="134"/>
    </font>
    <font>
      <sz val="11"/>
      <name val="宋体"/>
      <charset val="134"/>
    </font>
    <font>
      <sz val="11"/>
      <color indexed="8"/>
      <name val="宋体"/>
      <charset val="134"/>
    </font>
    <font>
      <b/>
      <sz val="11"/>
      <color indexed="8"/>
      <name val="宋体"/>
      <charset val="134"/>
    </font>
    <font>
      <sz val="9"/>
      <name val="宋体"/>
      <charset val="134"/>
    </font>
    <font>
      <sz val="11"/>
      <color theme="1"/>
      <name val="宋体"/>
      <charset val="134"/>
      <scheme val="minor"/>
    </font>
    <font>
      <sz val="11"/>
      <color theme="1"/>
      <name val="Arial"/>
      <family val="2"/>
    </font>
    <font>
      <sz val="11"/>
      <color rgb="FF9C0006"/>
      <name val="宋体"/>
      <charset val="134"/>
      <scheme val="minor"/>
    </font>
    <font>
      <sz val="11"/>
      <color rgb="FF006100"/>
      <name val="宋体"/>
      <charset val="134"/>
      <scheme val="minor"/>
    </font>
    <font>
      <b/>
      <sz val="11"/>
      <color theme="1"/>
      <name val="宋体"/>
      <charset val="134"/>
      <scheme val="minor"/>
    </font>
    <font>
      <sz val="11"/>
      <color rgb="FFFF0000"/>
      <name val="宋体"/>
      <charset val="134"/>
      <scheme val="minor"/>
    </font>
    <font>
      <sz val="14"/>
      <color theme="1"/>
      <name val="微软雅黑"/>
      <family val="2"/>
      <charset val="134"/>
    </font>
    <font>
      <sz val="16"/>
      <color theme="1"/>
      <name val="微软雅黑"/>
      <family val="2"/>
      <charset val="134"/>
    </font>
    <font>
      <b/>
      <sz val="9"/>
      <color theme="1"/>
      <name val="宋体"/>
      <charset val="134"/>
      <scheme val="major"/>
    </font>
    <font>
      <sz val="9"/>
      <color theme="1"/>
      <name val="宋体"/>
      <charset val="134"/>
      <scheme val="major"/>
    </font>
    <font>
      <b/>
      <sz val="9"/>
      <color rgb="FF000000"/>
      <name val="宋体"/>
      <charset val="134"/>
      <scheme val="major"/>
    </font>
    <font>
      <b/>
      <sz val="9"/>
      <name val="宋体"/>
      <charset val="134"/>
      <scheme val="major"/>
    </font>
    <font>
      <sz val="12"/>
      <color theme="1"/>
      <name val="宋体"/>
      <charset val="134"/>
      <scheme val="minor"/>
    </font>
    <font>
      <b/>
      <sz val="11"/>
      <color theme="1"/>
      <name val="SimSun"/>
      <charset val="134"/>
    </font>
    <font>
      <sz val="11"/>
      <color theme="1"/>
      <name val="SimSun"/>
      <charset val="134"/>
    </font>
    <font>
      <sz val="10"/>
      <color theme="1"/>
      <name val="宋体"/>
      <charset val="134"/>
      <scheme val="minor"/>
    </font>
    <font>
      <b/>
      <sz val="9"/>
      <color theme="1"/>
      <name val="Arial"/>
      <family val="2"/>
    </font>
    <font>
      <b/>
      <sz val="9"/>
      <color rgb="FF000000"/>
      <name val="Arial"/>
      <family val="2"/>
    </font>
    <font>
      <sz val="11"/>
      <color theme="1"/>
      <name val="宋体"/>
      <charset val="134"/>
    </font>
    <font>
      <sz val="9"/>
      <color theme="1"/>
      <name val="Arial"/>
      <family val="2"/>
    </font>
    <font>
      <sz val="9"/>
      <color theme="1"/>
      <name val="宋体"/>
      <charset val="134"/>
    </font>
    <font>
      <sz val="9"/>
      <color rgb="FF000000"/>
      <name val="宋体"/>
      <charset val="134"/>
    </font>
    <font>
      <sz val="11"/>
      <color rgb="FF000000"/>
      <name val="Arial"/>
      <family val="2"/>
    </font>
    <font>
      <sz val="9"/>
      <color rgb="FF000000"/>
      <name val="Arial"/>
      <family val="2"/>
    </font>
    <font>
      <sz val="12"/>
      <color theme="1"/>
      <name val="SimSun"/>
      <charset val="134"/>
    </font>
    <font>
      <sz val="10"/>
      <color theme="1"/>
      <name val="Arial"/>
      <family val="2"/>
    </font>
    <font>
      <sz val="12"/>
      <color rgb="FF000000"/>
      <name val="宋体"/>
      <charset val="134"/>
    </font>
    <font>
      <sz val="12"/>
      <color rgb="FF00B0F0"/>
      <name val="宋体"/>
      <charset val="134"/>
    </font>
    <font>
      <sz val="12"/>
      <color rgb="FF000000"/>
      <name val="Times New Roman"/>
      <family val="1"/>
    </font>
    <font>
      <b/>
      <sz val="18"/>
      <color theme="1"/>
      <name val="宋体"/>
      <charset val="134"/>
      <scheme val="minor"/>
    </font>
    <font>
      <b/>
      <sz val="11"/>
      <color theme="1"/>
      <name val="Adobe 宋体 Std L"/>
      <family val="1"/>
      <charset val="134"/>
    </font>
    <font>
      <sz val="16"/>
      <color theme="1"/>
      <name val="宋体"/>
      <charset val="134"/>
      <scheme val="minor"/>
    </font>
    <font>
      <sz val="9"/>
      <name val="宋体"/>
      <charset val="134"/>
      <scheme val="major"/>
    </font>
    <font>
      <sz val="9"/>
      <color rgb="FF000000"/>
      <name val="宋体"/>
      <charset val="134"/>
      <scheme val="major"/>
    </font>
    <font>
      <sz val="12"/>
      <color theme="0"/>
      <name val="宋体"/>
      <charset val="134"/>
      <scheme val="minor"/>
    </font>
    <font>
      <sz val="10"/>
      <name val="宋体"/>
      <charset val="134"/>
      <scheme val="minor"/>
    </font>
    <font>
      <sz val="11"/>
      <name val="宋体"/>
      <charset val="134"/>
      <scheme val="minor"/>
    </font>
    <font>
      <sz val="12"/>
      <name val="宋体"/>
      <charset val="134"/>
      <scheme val="minor"/>
    </font>
    <font>
      <sz val="10"/>
      <color theme="1"/>
      <name val="宋体"/>
      <charset val="134"/>
    </font>
    <font>
      <sz val="12"/>
      <color rgb="FF0000FF"/>
      <name val="宋体"/>
      <charset val="134"/>
      <scheme val="minor"/>
    </font>
    <font>
      <sz val="14"/>
      <color theme="1"/>
      <name val="宋体"/>
      <charset val="134"/>
      <scheme val="minor"/>
    </font>
    <font>
      <b/>
      <sz val="12"/>
      <color theme="1"/>
      <name val="宋体"/>
      <charset val="134"/>
      <scheme val="minor"/>
    </font>
    <font>
      <b/>
      <sz val="16"/>
      <color theme="1"/>
      <name val="SimSun"/>
      <charset val="134"/>
    </font>
    <font>
      <b/>
      <sz val="24"/>
      <color theme="1"/>
      <name val="Arial"/>
      <family val="2"/>
    </font>
    <font>
      <b/>
      <sz val="20"/>
      <color theme="1"/>
      <name val="Arial"/>
      <family val="2"/>
    </font>
    <font>
      <b/>
      <sz val="12"/>
      <color theme="1"/>
      <name val="Arial"/>
      <family val="2"/>
    </font>
    <font>
      <b/>
      <sz val="11"/>
      <color theme="1"/>
      <name val="Arial"/>
      <family val="2"/>
    </font>
    <font>
      <b/>
      <sz val="11"/>
      <color rgb="FF000000"/>
      <name val="Arial"/>
      <family val="2"/>
    </font>
    <font>
      <b/>
      <sz val="11"/>
      <name val="宋体"/>
      <charset val="134"/>
      <scheme val="minor"/>
    </font>
    <font>
      <b/>
      <sz val="12"/>
      <name val="宋体"/>
      <charset val="134"/>
      <scheme val="minor"/>
    </font>
  </fonts>
  <fills count="23">
    <fill>
      <patternFill patternType="none"/>
    </fill>
    <fill>
      <patternFill patternType="gray125"/>
    </fill>
    <fill>
      <patternFill patternType="solid">
        <fgColor indexed="45"/>
        <bgColor indexed="64"/>
      </patternFill>
    </fill>
    <fill>
      <patternFill patternType="solid">
        <fgColor indexed="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FFC7CE"/>
        <bgColor indexed="64"/>
      </patternFill>
    </fill>
    <fill>
      <patternFill patternType="solid">
        <fgColor rgb="FFC6EFCE"/>
        <bgColor indexed="64"/>
      </patternFill>
    </fill>
    <fill>
      <patternFill patternType="solid">
        <fgColor rgb="FFFFFF00"/>
        <bgColor indexed="64"/>
      </patternFill>
    </fill>
    <fill>
      <patternFill patternType="solid">
        <fgColor theme="0"/>
        <bgColor indexed="64"/>
      </patternFill>
    </fill>
    <fill>
      <patternFill patternType="solid">
        <fgColor theme="7" tint="0.59996337778862885"/>
        <bgColor indexed="64"/>
      </patternFill>
    </fill>
    <fill>
      <patternFill patternType="solid">
        <fgColor rgb="FFD2DEEF"/>
        <bgColor indexed="64"/>
      </patternFill>
    </fill>
    <fill>
      <patternFill patternType="solid">
        <fgColor rgb="FFCC99FF"/>
        <bgColor indexed="64"/>
      </patternFill>
    </fill>
    <fill>
      <patternFill patternType="solid">
        <fgColor rgb="FF92D050"/>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rgb="FF00B050"/>
        <bgColor indexed="64"/>
      </patternFill>
    </fill>
    <fill>
      <patternFill patternType="solid">
        <fgColor rgb="FFFF0000"/>
        <bgColor indexed="64"/>
      </patternFill>
    </fill>
    <fill>
      <patternFill patternType="solid">
        <fgColor theme="0" tint="-0.14999847407452621"/>
        <bgColor indexed="64"/>
      </patternFill>
    </fill>
  </fills>
  <borders count="44">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diagonalDown="1">
      <left style="thin">
        <color indexed="64"/>
      </left>
      <right style="thin">
        <color indexed="64"/>
      </right>
      <top style="thin">
        <color indexed="64"/>
      </top>
      <bottom style="thin">
        <color indexed="64"/>
      </bottom>
      <diagonal style="thin">
        <color indexed="64"/>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rgb="FF000000"/>
      </right>
      <top style="medium">
        <color indexed="64"/>
      </top>
      <bottom style="medium">
        <color indexed="64"/>
      </bottom>
      <diagonal/>
    </border>
  </borders>
  <cellStyleXfs count="28">
    <xf numFmtId="0" fontId="0" fillId="0" borderId="0"/>
    <xf numFmtId="0" fontId="43" fillId="0" borderId="0" applyNumberFormat="0" applyFill="0" applyBorder="0" applyProtection="0">
      <alignment vertical="center" wrapText="1"/>
    </xf>
    <xf numFmtId="0" fontId="10" fillId="0" borderId="0" applyNumberFormat="0" applyFill="0" applyBorder="0" applyAlignment="0" applyProtection="0"/>
    <xf numFmtId="0" fontId="44" fillId="10" borderId="0" applyNumberFormat="0" applyBorder="0" applyAlignment="0" applyProtection="0">
      <alignment vertical="center"/>
    </xf>
    <xf numFmtId="0" fontId="13" fillId="2" borderId="0" applyNumberFormat="0" applyBorder="0" applyAlignment="0" applyProtection="0">
      <alignment vertical="center"/>
    </xf>
    <xf numFmtId="0" fontId="42" fillId="0" borderId="0"/>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4" fillId="0" borderId="0">
      <alignment vertical="center"/>
    </xf>
    <xf numFmtId="0" fontId="42" fillId="0" borderId="0">
      <alignment vertical="center"/>
    </xf>
    <xf numFmtId="0" fontId="42" fillId="0" borderId="0">
      <alignment vertical="center"/>
    </xf>
    <xf numFmtId="0" fontId="10" fillId="0" borderId="0"/>
    <xf numFmtId="0" fontId="42" fillId="0" borderId="0"/>
    <xf numFmtId="0" fontId="42" fillId="0" borderId="0"/>
    <xf numFmtId="0" fontId="42" fillId="0" borderId="0"/>
    <xf numFmtId="0" fontId="42" fillId="0" borderId="0">
      <alignment vertical="center"/>
    </xf>
    <xf numFmtId="0" fontId="42" fillId="0" borderId="0"/>
    <xf numFmtId="0" fontId="42" fillId="0" borderId="0"/>
    <xf numFmtId="0" fontId="42" fillId="0" borderId="0"/>
    <xf numFmtId="0" fontId="15" fillId="0" borderId="0" applyNumberFormat="0" applyFill="0" applyBorder="0" applyAlignment="0" applyProtection="0">
      <alignment vertical="top"/>
      <protection locked="0"/>
    </xf>
    <xf numFmtId="0" fontId="45" fillId="11" borderId="0" applyNumberFormat="0" applyBorder="0" applyAlignment="0" applyProtection="0">
      <alignment vertical="center"/>
    </xf>
    <xf numFmtId="0" fontId="16" fillId="3" borderId="0" applyNumberFormat="0" applyBorder="0" applyAlignment="0" applyProtection="0">
      <alignment vertical="center"/>
    </xf>
  </cellStyleXfs>
  <cellXfs count="54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48" fillId="0" borderId="1" xfId="0" applyFont="1" applyBorder="1" applyAlignment="1">
      <alignment horizontal="center" vertical="center" wrapText="1"/>
    </xf>
    <xf numFmtId="0" fontId="48" fillId="0" borderId="2" xfId="0" applyFont="1" applyBorder="1" applyAlignment="1">
      <alignment horizontal="center" vertical="center" wrapText="1"/>
    </xf>
    <xf numFmtId="0" fontId="48" fillId="0" borderId="2" xfId="0" applyFont="1" applyBorder="1" applyAlignment="1">
      <alignment horizontal="justify" vertical="center" wrapText="1"/>
    </xf>
    <xf numFmtId="0" fontId="48" fillId="0" borderId="2" xfId="0" applyFont="1" applyBorder="1" applyAlignment="1">
      <alignment vertical="center" wrapText="1"/>
    </xf>
    <xf numFmtId="0" fontId="48" fillId="0" borderId="3" xfId="0" applyFont="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vertical="center"/>
    </xf>
    <xf numFmtId="0" fontId="48" fillId="0" borderId="0" xfId="0" applyFont="1" applyAlignment="1">
      <alignment vertical="center"/>
    </xf>
    <xf numFmtId="0" fontId="48" fillId="0" borderId="1" xfId="0" applyFont="1" applyBorder="1" applyAlignment="1">
      <alignment horizontal="center" vertical="center"/>
    </xf>
    <xf numFmtId="0" fontId="48" fillId="0" borderId="5" xfId="0" applyFont="1" applyBorder="1" applyAlignment="1">
      <alignment horizontal="justify" vertical="center" wrapText="1"/>
    </xf>
    <xf numFmtId="0" fontId="48" fillId="0" borderId="6" xfId="0" applyFont="1" applyBorder="1" applyAlignment="1">
      <alignment horizontal="justify" vertical="center" wrapText="1"/>
    </xf>
    <xf numFmtId="0" fontId="48" fillId="12" borderId="6" xfId="0" applyFont="1" applyFill="1" applyBorder="1" applyAlignment="1">
      <alignment vertical="center"/>
    </xf>
    <xf numFmtId="0" fontId="42" fillId="0" borderId="0" xfId="5"/>
    <xf numFmtId="0" fontId="49" fillId="0" borderId="1" xfId="5" applyFont="1" applyBorder="1" applyAlignment="1">
      <alignment horizontal="center" vertical="center" wrapText="1"/>
    </xf>
    <xf numFmtId="0" fontId="49" fillId="0" borderId="2" xfId="5" applyFont="1" applyBorder="1" applyAlignment="1">
      <alignment horizontal="justify" vertical="center" wrapText="1"/>
    </xf>
    <xf numFmtId="0" fontId="50" fillId="0" borderId="0" xfId="2" applyFont="1" applyAlignment="1">
      <alignment horizontal="center" vertical="center"/>
    </xf>
    <xf numFmtId="0" fontId="51" fillId="0" borderId="0" xfId="2" applyFont="1" applyFill="1" applyAlignment="1">
      <alignment horizontal="center" vertical="center"/>
    </xf>
    <xf numFmtId="0" fontId="51" fillId="0" borderId="0" xfId="2" applyFont="1" applyAlignment="1">
      <alignment horizontal="center" vertical="center"/>
    </xf>
    <xf numFmtId="0" fontId="51" fillId="0" borderId="0" xfId="2" applyFont="1" applyBorder="1" applyAlignment="1">
      <alignment horizontal="center" vertical="center"/>
    </xf>
    <xf numFmtId="0" fontId="51" fillId="0" borderId="0" xfId="2" applyFont="1" applyFill="1" applyAlignment="1">
      <alignment horizontal="center" vertical="top"/>
    </xf>
    <xf numFmtId="0" fontId="51" fillId="13" borderId="0" xfId="2" applyFont="1" applyFill="1" applyAlignment="1">
      <alignment horizontal="center" vertical="center"/>
    </xf>
    <xf numFmtId="0" fontId="51" fillId="13" borderId="0" xfId="1" applyFont="1" applyFill="1" applyAlignment="1">
      <alignment horizontal="center" vertical="center" wrapText="1"/>
    </xf>
    <xf numFmtId="0" fontId="51" fillId="0" borderId="0" xfId="1" applyFont="1" applyAlignment="1">
      <alignment horizontal="center" vertical="center" wrapText="1"/>
    </xf>
    <xf numFmtId="0" fontId="50" fillId="0" borderId="0" xfId="17" applyFont="1" applyAlignment="1">
      <alignment horizontal="center" vertical="center" wrapText="1"/>
    </xf>
    <xf numFmtId="0" fontId="51" fillId="0" borderId="0" xfId="2" applyFont="1" applyFill="1" applyBorder="1" applyAlignment="1">
      <alignment horizontal="center" vertical="center"/>
    </xf>
    <xf numFmtId="0" fontId="52" fillId="0" borderId="7" xfId="2" applyFont="1" applyFill="1" applyBorder="1" applyAlignment="1">
      <alignment horizontal="center" vertical="center" wrapText="1" readingOrder="1"/>
    </xf>
    <xf numFmtId="0" fontId="53" fillId="0" borderId="7" xfId="17" applyFont="1" applyBorder="1" applyAlignment="1">
      <alignment horizontal="center" vertical="center" textRotation="90" wrapText="1"/>
    </xf>
    <xf numFmtId="0" fontId="53" fillId="14" borderId="7" xfId="17" applyFont="1" applyFill="1" applyBorder="1" applyAlignment="1">
      <alignment horizontal="center" vertical="center" wrapText="1"/>
    </xf>
    <xf numFmtId="0" fontId="52" fillId="0" borderId="8" xfId="2" applyFont="1" applyBorder="1" applyAlignment="1">
      <alignment horizontal="center" vertical="center" wrapText="1" readingOrder="1"/>
    </xf>
    <xf numFmtId="0" fontId="52" fillId="15" borderId="7" xfId="2" applyFont="1" applyFill="1" applyBorder="1" applyAlignment="1">
      <alignment horizontal="center" vertical="center" wrapText="1" readingOrder="1"/>
    </xf>
    <xf numFmtId="0" fontId="52" fillId="16" borderId="9" xfId="2" applyFont="1" applyFill="1" applyBorder="1" applyAlignment="1">
      <alignment horizontal="center" vertical="center" wrapText="1" readingOrder="1"/>
    </xf>
    <xf numFmtId="0" fontId="52" fillId="0" borderId="7" xfId="2" applyFont="1" applyBorder="1" applyAlignment="1">
      <alignment horizontal="center" vertical="center" wrapText="1" readingOrder="1"/>
    </xf>
    <xf numFmtId="0" fontId="1" fillId="0" borderId="7" xfId="2" applyFont="1" applyBorder="1" applyAlignment="1">
      <alignment horizontal="center" vertical="center" wrapText="1"/>
    </xf>
    <xf numFmtId="0" fontId="2" fillId="0" borderId="7" xfId="2" applyFont="1" applyFill="1" applyBorder="1" applyAlignment="1">
      <alignment horizontal="center" vertical="center" wrapText="1" readingOrder="1"/>
    </xf>
    <xf numFmtId="0" fontId="51" fillId="0" borderId="7" xfId="2" applyFont="1" applyBorder="1" applyAlignment="1">
      <alignment horizontal="center" vertical="center"/>
    </xf>
    <xf numFmtId="0" fontId="52" fillId="0" borderId="7" xfId="2" applyFont="1" applyFill="1" applyBorder="1" applyAlignment="1">
      <alignment horizontal="center" vertical="top" wrapText="1" readingOrder="1"/>
    </xf>
    <xf numFmtId="0" fontId="52" fillId="17" borderId="7" xfId="2" applyFont="1" applyFill="1" applyBorder="1" applyAlignment="1">
      <alignment horizontal="center" vertical="center" textRotation="90" wrapText="1" readingOrder="1"/>
    </xf>
    <xf numFmtId="0" fontId="52" fillId="17" borderId="7" xfId="2" applyFont="1" applyFill="1" applyBorder="1" applyAlignment="1">
      <alignment horizontal="center" vertical="center" wrapText="1" readingOrder="1"/>
    </xf>
    <xf numFmtId="0" fontId="1" fillId="0" borderId="7" xfId="2" applyFont="1" applyFill="1" applyBorder="1" applyAlignment="1">
      <alignment horizontal="center" vertical="center" wrapText="1" readingOrder="1"/>
    </xf>
    <xf numFmtId="0" fontId="50" fillId="13" borderId="7" xfId="2" applyFont="1" applyFill="1" applyBorder="1" applyAlignment="1">
      <alignment horizontal="center" vertical="center" wrapText="1"/>
    </xf>
    <xf numFmtId="0" fontId="52" fillId="13" borderId="7" xfId="2" applyFont="1" applyFill="1" applyBorder="1" applyAlignment="1">
      <alignment horizontal="center" vertical="center" textRotation="90" wrapText="1" readingOrder="1"/>
    </xf>
    <xf numFmtId="0" fontId="52" fillId="13" borderId="7" xfId="2" applyFont="1" applyFill="1" applyBorder="1" applyAlignment="1">
      <alignment horizontal="center" vertical="center" wrapText="1" readingOrder="1"/>
    </xf>
    <xf numFmtId="0" fontId="1" fillId="0" borderId="7" xfId="2" applyFont="1" applyBorder="1" applyAlignment="1">
      <alignment horizontal="center" vertical="center" wrapText="1" readingOrder="1"/>
    </xf>
    <xf numFmtId="177" fontId="1" fillId="0" borderId="7" xfId="2" applyNumberFormat="1" applyFont="1" applyBorder="1" applyAlignment="1">
      <alignment horizontal="center" vertical="center" wrapText="1" readingOrder="1"/>
    </xf>
    <xf numFmtId="0" fontId="51" fillId="13" borderId="7" xfId="2" applyFont="1" applyFill="1" applyBorder="1" applyAlignment="1">
      <alignment horizontal="center" vertical="center"/>
    </xf>
    <xf numFmtId="0" fontId="51" fillId="13" borderId="0" xfId="2" applyFont="1" applyFill="1" applyAlignment="1">
      <alignment horizontal="center" vertical="center" wrapText="1"/>
    </xf>
    <xf numFmtId="0" fontId="50" fillId="13" borderId="0" xfId="2" applyFont="1" applyFill="1" applyAlignment="1">
      <alignment horizontal="center" vertical="center"/>
    </xf>
    <xf numFmtId="0" fontId="42" fillId="0" borderId="0" xfId="21" applyFont="1" applyAlignment="1">
      <alignment vertical="center"/>
    </xf>
    <xf numFmtId="0" fontId="54" fillId="0" borderId="0" xfId="21" applyFont="1" applyAlignment="1">
      <alignment vertical="center"/>
    </xf>
    <xf numFmtId="0" fontId="42" fillId="0" borderId="0" xfId="21" applyFont="1">
      <alignment vertical="center"/>
    </xf>
    <xf numFmtId="0" fontId="46" fillId="18" borderId="10" xfId="21" applyFont="1" applyFill="1" applyBorder="1" applyAlignment="1">
      <alignment horizontal="left" vertical="top" wrapText="1"/>
    </xf>
    <xf numFmtId="0" fontId="42" fillId="18" borderId="0" xfId="21" applyFont="1" applyFill="1" applyAlignment="1">
      <alignment vertical="center"/>
    </xf>
    <xf numFmtId="0" fontId="46" fillId="18" borderId="7" xfId="21" applyFont="1" applyFill="1" applyBorder="1" applyAlignment="1">
      <alignment horizontal="left" vertical="center"/>
    </xf>
    <xf numFmtId="0" fontId="55" fillId="0" borderId="7" xfId="21" applyFont="1" applyBorder="1" applyAlignment="1">
      <alignment horizontal="left" vertical="center"/>
    </xf>
    <xf numFmtId="0" fontId="46" fillId="0" borderId="7" xfId="21" applyFont="1" applyBorder="1" applyAlignment="1">
      <alignment horizontal="left" vertical="center"/>
    </xf>
    <xf numFmtId="0" fontId="42" fillId="0" borderId="7" xfId="21" applyFont="1" applyBorder="1" applyAlignment="1">
      <alignment vertical="top" wrapText="1"/>
    </xf>
    <xf numFmtId="0" fontId="54" fillId="0" borderId="9" xfId="21" applyFont="1" applyBorder="1" applyAlignment="1">
      <alignment vertical="top" wrapText="1"/>
    </xf>
    <xf numFmtId="0" fontId="46" fillId="18" borderId="7" xfId="21" applyFont="1" applyFill="1" applyBorder="1" applyAlignment="1">
      <alignment horizontal="left" vertical="top"/>
    </xf>
    <xf numFmtId="0" fontId="55" fillId="18" borderId="7" xfId="21" applyFont="1" applyFill="1" applyBorder="1" applyAlignment="1">
      <alignment horizontal="left" vertical="top" wrapText="1"/>
    </xf>
    <xf numFmtId="0" fontId="42" fillId="0" borderId="0" xfId="21" applyFont="1" applyAlignment="1">
      <alignment vertical="center" wrapText="1"/>
    </xf>
    <xf numFmtId="0" fontId="42" fillId="0" borderId="0" xfId="21" applyFont="1" applyBorder="1" applyAlignment="1">
      <alignment vertical="top" wrapText="1"/>
    </xf>
    <xf numFmtId="0" fontId="56" fillId="0" borderId="0" xfId="21" applyFont="1" applyFill="1" applyBorder="1" applyAlignment="1">
      <alignment vertical="top" wrapText="1"/>
    </xf>
    <xf numFmtId="0" fontId="47" fillId="0" borderId="7" xfId="21" applyFont="1" applyFill="1" applyBorder="1" applyAlignment="1">
      <alignment vertical="top" wrapText="1"/>
    </xf>
    <xf numFmtId="0" fontId="42" fillId="0" borderId="0" xfId="21" applyFont="1" applyFill="1" applyBorder="1" applyAlignment="1">
      <alignment vertical="top" wrapText="1"/>
    </xf>
    <xf numFmtId="0" fontId="0" fillId="0" borderId="0" xfId="0" applyNumberFormat="1" applyFill="1" applyBorder="1" applyAlignment="1">
      <alignment horizontal="left" vertical="center"/>
    </xf>
    <xf numFmtId="0" fontId="0" fillId="13" borderId="0" xfId="0" applyNumberFormat="1" applyFill="1" applyBorder="1" applyAlignment="1">
      <alignment horizontal="left" vertical="center"/>
    </xf>
    <xf numFmtId="0" fontId="0" fillId="0" borderId="0" xfId="0" applyNumberFormat="1" applyFont="1" applyFill="1" applyBorder="1" applyAlignment="1">
      <alignment horizontal="left" vertical="center"/>
    </xf>
    <xf numFmtId="0" fontId="4" fillId="0" borderId="7" xfId="0" applyNumberFormat="1" applyFont="1" applyFill="1" applyBorder="1" applyAlignment="1">
      <alignment horizontal="left" vertical="center"/>
    </xf>
    <xf numFmtId="0" fontId="3" fillId="0" borderId="7" xfId="0" applyNumberFormat="1" applyFont="1" applyFill="1" applyBorder="1" applyAlignment="1">
      <alignment horizontal="left" vertical="center"/>
    </xf>
    <xf numFmtId="0" fontId="57" fillId="0" borderId="0" xfId="0" applyNumberFormat="1" applyFont="1" applyFill="1" applyBorder="1" applyAlignment="1">
      <alignment horizontal="left" vertical="center"/>
    </xf>
    <xf numFmtId="0" fontId="0" fillId="0" borderId="7" xfId="0" applyNumberFormat="1" applyFill="1" applyBorder="1" applyAlignment="1">
      <alignment horizontal="left" vertical="center"/>
    </xf>
    <xf numFmtId="0" fontId="58" fillId="0" borderId="0" xfId="2" applyFont="1" applyAlignment="1">
      <alignment horizontal="center" vertical="center"/>
    </xf>
    <xf numFmtId="0" fontId="43" fillId="0" borderId="0" xfId="2" applyFont="1" applyFill="1" applyAlignment="1">
      <alignment horizontal="center" vertical="center"/>
    </xf>
    <xf numFmtId="0" fontId="43" fillId="9" borderId="0" xfId="1" applyFill="1" applyAlignment="1">
      <alignment horizontal="center" vertical="center" wrapText="1"/>
    </xf>
    <xf numFmtId="0" fontId="43" fillId="5" borderId="0" xfId="1" applyFill="1" applyAlignment="1">
      <alignment horizontal="center" vertical="center" wrapText="1"/>
    </xf>
    <xf numFmtId="0" fontId="43" fillId="4" borderId="0" xfId="1" applyFill="1" applyAlignment="1">
      <alignment horizontal="center" vertical="center" wrapText="1"/>
    </xf>
    <xf numFmtId="0" fontId="1" fillId="4" borderId="0" xfId="2" applyFont="1" applyFill="1" applyAlignment="1">
      <alignment vertical="center"/>
    </xf>
    <xf numFmtId="0" fontId="1" fillId="5" borderId="0" xfId="2" applyFont="1" applyFill="1" applyAlignment="1">
      <alignment vertical="center"/>
    </xf>
    <xf numFmtId="0" fontId="1" fillId="0" borderId="0" xfId="2" applyFont="1" applyAlignment="1">
      <alignment vertical="center"/>
    </xf>
    <xf numFmtId="0" fontId="43" fillId="13" borderId="7" xfId="1" applyFill="1" applyBorder="1" applyAlignment="1">
      <alignment horizontal="center" vertical="center" wrapText="1"/>
    </xf>
    <xf numFmtId="0" fontId="43" fillId="13" borderId="0" xfId="1" applyFill="1" applyBorder="1" applyAlignment="1">
      <alignment horizontal="center" vertical="center" wrapText="1"/>
    </xf>
    <xf numFmtId="0" fontId="43" fillId="0" borderId="0" xfId="2" applyFont="1" applyAlignment="1">
      <alignment horizontal="center" vertical="center"/>
    </xf>
    <xf numFmtId="0" fontId="43" fillId="0" borderId="0" xfId="2" applyFont="1" applyBorder="1" applyAlignment="1">
      <alignment horizontal="center" vertical="center"/>
    </xf>
    <xf numFmtId="0" fontId="43" fillId="13" borderId="0" xfId="2" applyFont="1" applyFill="1" applyAlignment="1">
      <alignment horizontal="center" vertical="center"/>
    </xf>
    <xf numFmtId="0" fontId="43" fillId="13" borderId="0" xfId="1" applyFill="1" applyAlignment="1">
      <alignment horizontal="center" vertical="center" wrapText="1"/>
    </xf>
    <xf numFmtId="0" fontId="43" fillId="0" borderId="0" xfId="1" applyAlignment="1">
      <alignment horizontal="center" vertical="center" wrapText="1"/>
    </xf>
    <xf numFmtId="0" fontId="58" fillId="0" borderId="0" xfId="17" applyFont="1" applyAlignment="1">
      <alignment horizontal="center" vertical="center" wrapText="1"/>
    </xf>
    <xf numFmtId="0" fontId="43" fillId="0" borderId="0" xfId="2" applyFont="1" applyFill="1" applyBorder="1" applyAlignment="1">
      <alignment horizontal="center" vertical="center"/>
    </xf>
    <xf numFmtId="0" fontId="6" fillId="0" borderId="7" xfId="17" applyFont="1" applyBorder="1" applyAlignment="1">
      <alignment horizontal="center" vertical="center" textRotation="90" wrapText="1"/>
    </xf>
    <xf numFmtId="0" fontId="6" fillId="14" borderId="7" xfId="17" applyFont="1" applyFill="1" applyBorder="1" applyAlignment="1">
      <alignment horizontal="center" vertical="center" wrapText="1"/>
    </xf>
    <xf numFmtId="0" fontId="59" fillId="0" borderId="8" xfId="2" applyFont="1" applyBorder="1" applyAlignment="1">
      <alignment horizontal="center" vertical="center" wrapText="1" readingOrder="1"/>
    </xf>
    <xf numFmtId="0" fontId="59" fillId="15" borderId="7" xfId="2" applyFont="1" applyFill="1" applyBorder="1" applyAlignment="1">
      <alignment horizontal="center" vertical="center" wrapText="1" readingOrder="1"/>
    </xf>
    <xf numFmtId="0" fontId="59" fillId="16" borderId="9" xfId="2" applyFont="1" applyFill="1" applyBorder="1" applyAlignment="1">
      <alignment horizontal="center" vertical="center" wrapText="1" readingOrder="1"/>
    </xf>
    <xf numFmtId="0" fontId="59" fillId="0" borderId="7" xfId="2" applyFont="1" applyBorder="1" applyAlignment="1">
      <alignment horizontal="center" vertical="center" wrapText="1" readingOrder="1"/>
    </xf>
    <xf numFmtId="0" fontId="1" fillId="9" borderId="7" xfId="2" applyFont="1" applyFill="1" applyBorder="1" applyAlignment="1">
      <alignment horizontal="left" vertical="center" wrapText="1"/>
    </xf>
    <xf numFmtId="0" fontId="2" fillId="9" borderId="7" xfId="2" applyFont="1" applyFill="1" applyBorder="1" applyAlignment="1">
      <alignment horizontal="left" vertical="center" wrapText="1" readingOrder="1"/>
    </xf>
    <xf numFmtId="0" fontId="1" fillId="9" borderId="7" xfId="2" applyFont="1" applyFill="1" applyBorder="1" applyAlignment="1">
      <alignment horizontal="left" vertical="center" wrapText="1" readingOrder="1"/>
    </xf>
    <xf numFmtId="0" fontId="1" fillId="5" borderId="7" xfId="2" applyFont="1" applyFill="1" applyBorder="1" applyAlignment="1">
      <alignment horizontal="left" vertical="center" wrapText="1"/>
    </xf>
    <xf numFmtId="0" fontId="2" fillId="5" borderId="7" xfId="2" applyFont="1" applyFill="1" applyBorder="1" applyAlignment="1">
      <alignment horizontal="left" vertical="center" wrapText="1" readingOrder="1"/>
    </xf>
    <xf numFmtId="0" fontId="2" fillId="5" borderId="7" xfId="2" applyFont="1" applyFill="1" applyBorder="1" applyAlignment="1">
      <alignment vertical="top" wrapText="1" readingOrder="1"/>
    </xf>
    <xf numFmtId="0" fontId="2" fillId="5" borderId="11" xfId="2" applyFont="1" applyFill="1" applyBorder="1" applyAlignment="1">
      <alignment vertical="top" wrapText="1" readingOrder="1"/>
    </xf>
    <xf numFmtId="0" fontId="2" fillId="5" borderId="12" xfId="2" applyFont="1" applyFill="1" applyBorder="1" applyAlignment="1">
      <alignment vertical="top" wrapText="1" readingOrder="1"/>
    </xf>
    <xf numFmtId="0" fontId="43" fillId="5" borderId="0" xfId="2" applyFont="1" applyFill="1" applyAlignment="1">
      <alignment horizontal="left" vertical="center"/>
    </xf>
    <xf numFmtId="0" fontId="60" fillId="5" borderId="7" xfId="2" applyFont="1" applyFill="1" applyBorder="1" applyAlignment="1">
      <alignment horizontal="left" vertical="center"/>
    </xf>
    <xf numFmtId="0" fontId="1" fillId="4" borderId="7" xfId="2" applyFont="1" applyFill="1" applyBorder="1" applyAlignment="1">
      <alignment horizontal="left" vertical="center" wrapText="1"/>
    </xf>
    <xf numFmtId="0" fontId="2" fillId="4" borderId="10" xfId="2" applyFont="1" applyFill="1" applyBorder="1" applyAlignment="1">
      <alignment horizontal="left" vertical="center" wrapText="1" readingOrder="1"/>
    </xf>
    <xf numFmtId="0" fontId="7" fillId="4" borderId="10" xfId="2" applyFont="1" applyFill="1" applyBorder="1" applyAlignment="1">
      <alignment horizontal="left" vertical="center" wrapText="1"/>
    </xf>
    <xf numFmtId="0" fontId="61" fillId="4" borderId="10" xfId="2" applyFont="1" applyFill="1" applyBorder="1" applyAlignment="1">
      <alignment horizontal="left" vertical="center" wrapText="1"/>
    </xf>
    <xf numFmtId="0" fontId="2" fillId="4" borderId="7" xfId="2" applyFont="1" applyFill="1" applyBorder="1" applyAlignment="1">
      <alignment horizontal="left" vertical="center" wrapText="1" readingOrder="1"/>
    </xf>
    <xf numFmtId="0" fontId="2" fillId="7" borderId="10" xfId="2" applyFont="1" applyFill="1" applyBorder="1" applyAlignment="1">
      <alignment vertical="center" wrapText="1" readingOrder="1"/>
    </xf>
    <xf numFmtId="0" fontId="2" fillId="7" borderId="10" xfId="2" applyFont="1" applyFill="1" applyBorder="1" applyAlignment="1">
      <alignment horizontal="left" vertical="center" wrapText="1" readingOrder="1"/>
    </xf>
    <xf numFmtId="0" fontId="2" fillId="7" borderId="7" xfId="2" applyFont="1" applyFill="1" applyBorder="1" applyAlignment="1">
      <alignment horizontal="left" vertical="center" wrapText="1" readingOrder="1"/>
    </xf>
    <xf numFmtId="0" fontId="62" fillId="7" borderId="7" xfId="2" applyFont="1" applyFill="1" applyBorder="1" applyAlignment="1">
      <alignment horizontal="left" vertical="center" wrapText="1" readingOrder="1"/>
    </xf>
    <xf numFmtId="0" fontId="61" fillId="4" borderId="7" xfId="2" applyFont="1" applyFill="1" applyBorder="1" applyAlignment="1">
      <alignment horizontal="left" vertical="center" wrapText="1"/>
    </xf>
    <xf numFmtId="0" fontId="62" fillId="4" borderId="7" xfId="2" applyFont="1" applyFill="1" applyBorder="1" applyAlignment="1">
      <alignment horizontal="left" vertical="center" wrapText="1" readingOrder="1"/>
    </xf>
    <xf numFmtId="0" fontId="2" fillId="5" borderId="10" xfId="2" applyFont="1" applyFill="1" applyBorder="1" applyAlignment="1">
      <alignment horizontal="left" vertical="center" wrapText="1" readingOrder="1"/>
    </xf>
    <xf numFmtId="0" fontId="1" fillId="0" borderId="7" xfId="2" applyFont="1" applyBorder="1" applyAlignment="1">
      <alignment horizontal="left" vertical="center" wrapText="1"/>
    </xf>
    <xf numFmtId="0" fontId="1" fillId="19" borderId="7" xfId="2" applyFont="1" applyFill="1" applyBorder="1" applyAlignment="1">
      <alignment horizontal="left" vertical="center" wrapText="1"/>
    </xf>
    <xf numFmtId="0" fontId="2" fillId="19" borderId="7" xfId="2" applyFont="1" applyFill="1" applyBorder="1" applyAlignment="1">
      <alignment horizontal="left" vertical="center" wrapText="1" readingOrder="1"/>
    </xf>
    <xf numFmtId="0" fontId="2" fillId="19" borderId="10" xfId="2" applyFont="1" applyFill="1" applyBorder="1" applyAlignment="1">
      <alignment horizontal="left" vertical="center" wrapText="1" readingOrder="1"/>
    </xf>
    <xf numFmtId="0" fontId="61" fillId="13" borderId="7" xfId="2" applyFont="1" applyFill="1" applyBorder="1" applyAlignment="1">
      <alignment horizontal="left" vertical="center"/>
    </xf>
    <xf numFmtId="0" fontId="62" fillId="13" borderId="7" xfId="2" applyFont="1" applyFill="1" applyBorder="1" applyAlignment="1">
      <alignment horizontal="left" vertical="center" wrapText="1"/>
    </xf>
    <xf numFmtId="0" fontId="62" fillId="13" borderId="10" xfId="2" applyFont="1" applyFill="1" applyBorder="1" applyAlignment="1">
      <alignment horizontal="left" vertical="center" wrapText="1"/>
    </xf>
    <xf numFmtId="0" fontId="61" fillId="13" borderId="7" xfId="2" applyFont="1" applyFill="1" applyBorder="1" applyAlignment="1">
      <alignment horizontal="left" vertical="center" wrapText="1"/>
    </xf>
    <xf numFmtId="0" fontId="2" fillId="0" borderId="7" xfId="2" applyFont="1" applyBorder="1" applyAlignment="1">
      <alignment horizontal="left" vertical="center" wrapText="1" readingOrder="1"/>
    </xf>
    <xf numFmtId="0" fontId="2" fillId="0" borderId="10" xfId="2" applyFont="1" applyBorder="1" applyAlignment="1">
      <alignment horizontal="left" vertical="center" wrapText="1" readingOrder="1"/>
    </xf>
    <xf numFmtId="0" fontId="2" fillId="0" borderId="10" xfId="2" applyFont="1" applyFill="1" applyBorder="1" applyAlignment="1">
      <alignment horizontal="left" vertical="center" wrapText="1" readingOrder="1"/>
    </xf>
    <xf numFmtId="0" fontId="59" fillId="0" borderId="7" xfId="2" applyFont="1" applyFill="1" applyBorder="1" applyAlignment="1">
      <alignment horizontal="center" vertical="center" wrapText="1" readingOrder="1"/>
    </xf>
    <xf numFmtId="0" fontId="59" fillId="17" borderId="7" xfId="2" applyFont="1" applyFill="1" applyBorder="1" applyAlignment="1">
      <alignment horizontal="center" vertical="center" textRotation="90" wrapText="1" readingOrder="1"/>
    </xf>
    <xf numFmtId="0" fontId="59" fillId="17" borderId="7" xfId="2" applyFont="1" applyFill="1" applyBorder="1" applyAlignment="1">
      <alignment horizontal="center" vertical="center" wrapText="1" readingOrder="1"/>
    </xf>
    <xf numFmtId="0" fontId="1" fillId="5" borderId="10" xfId="2" applyFont="1" applyFill="1" applyBorder="1" applyAlignment="1">
      <alignment vertical="top" wrapText="1" readingOrder="1"/>
    </xf>
    <xf numFmtId="0" fontId="1" fillId="5" borderId="7" xfId="2" applyFont="1" applyFill="1" applyBorder="1" applyAlignment="1">
      <alignment horizontal="left" vertical="center" wrapText="1" readingOrder="1"/>
    </xf>
    <xf numFmtId="0" fontId="62" fillId="5" borderId="7" xfId="2" applyFont="1" applyFill="1" applyBorder="1" applyAlignment="1">
      <alignment horizontal="left" vertical="center" wrapText="1"/>
    </xf>
    <xf numFmtId="0" fontId="43" fillId="5" borderId="7" xfId="2" applyFont="1" applyFill="1" applyBorder="1" applyAlignment="1">
      <alignment horizontal="left" vertical="center"/>
    </xf>
    <xf numFmtId="0" fontId="63" fillId="5" borderId="7" xfId="2" applyFont="1" applyFill="1" applyBorder="1" applyAlignment="1">
      <alignment horizontal="left" vertical="center" wrapText="1" readingOrder="1"/>
    </xf>
    <xf numFmtId="0" fontId="64" fillId="5" borderId="7" xfId="2" applyFont="1" applyFill="1" applyBorder="1" applyAlignment="1">
      <alignment horizontal="left" vertical="center"/>
    </xf>
    <xf numFmtId="0" fontId="65" fillId="5" borderId="7" xfId="2" applyFont="1" applyFill="1" applyBorder="1" applyAlignment="1">
      <alignment horizontal="left" vertical="center" wrapText="1" readingOrder="1"/>
    </xf>
    <xf numFmtId="0" fontId="65" fillId="4" borderId="10" xfId="2" applyFont="1" applyFill="1" applyBorder="1" applyAlignment="1">
      <alignment vertical="center" wrapText="1"/>
    </xf>
    <xf numFmtId="0" fontId="63" fillId="4" borderId="10" xfId="2" applyFont="1" applyFill="1" applyBorder="1" applyAlignment="1">
      <alignment horizontal="left" vertical="center" wrapText="1"/>
    </xf>
    <xf numFmtId="0" fontId="65" fillId="4" borderId="10" xfId="2" applyFont="1" applyFill="1" applyBorder="1" applyAlignment="1">
      <alignment horizontal="left" vertical="center" wrapText="1"/>
    </xf>
    <xf numFmtId="0" fontId="63" fillId="4" borderId="7" xfId="2" applyFont="1" applyFill="1" applyBorder="1" applyAlignment="1">
      <alignment horizontal="left" vertical="center" wrapText="1" readingOrder="1"/>
    </xf>
    <xf numFmtId="0" fontId="65" fillId="4" borderId="7" xfId="2" applyFont="1" applyFill="1" applyBorder="1" applyAlignment="1">
      <alignment horizontal="left" vertical="center" wrapText="1" readingOrder="1"/>
    </xf>
    <xf numFmtId="0" fontId="1" fillId="4" borderId="7" xfId="2" applyFont="1" applyFill="1" applyBorder="1" applyAlignment="1">
      <alignment horizontal="left" vertical="center" wrapText="1" readingOrder="1"/>
    </xf>
    <xf numFmtId="0" fontId="1" fillId="7" borderId="10" xfId="2" applyFont="1" applyFill="1" applyBorder="1" applyAlignment="1">
      <alignment horizontal="left" vertical="center" wrapText="1" readingOrder="1"/>
    </xf>
    <xf numFmtId="0" fontId="65" fillId="7" borderId="10" xfId="2" applyFont="1" applyFill="1" applyBorder="1" applyAlignment="1">
      <alignment horizontal="left" vertical="center" wrapText="1"/>
    </xf>
    <xf numFmtId="0" fontId="63" fillId="7" borderId="10" xfId="2" applyFont="1" applyFill="1" applyBorder="1" applyAlignment="1">
      <alignment horizontal="left" vertical="center" wrapText="1" readingOrder="1"/>
    </xf>
    <xf numFmtId="0" fontId="65" fillId="7" borderId="10" xfId="2" applyFont="1" applyFill="1" applyBorder="1" applyAlignment="1">
      <alignment horizontal="left" vertical="center" wrapText="1" readingOrder="1"/>
    </xf>
    <xf numFmtId="0" fontId="65" fillId="7" borderId="7" xfId="2" applyFont="1" applyFill="1" applyBorder="1" applyAlignment="1">
      <alignment horizontal="left" vertical="center" wrapText="1" readingOrder="1"/>
    </xf>
    <xf numFmtId="0" fontId="63" fillId="7" borderId="7" xfId="2" applyFont="1" applyFill="1" applyBorder="1" applyAlignment="1">
      <alignment horizontal="left" vertical="center" wrapText="1" readingOrder="1"/>
    </xf>
    <xf numFmtId="0" fontId="1" fillId="7" borderId="7" xfId="2" applyFont="1" applyFill="1" applyBorder="1" applyAlignment="1">
      <alignment horizontal="left" vertical="center" wrapText="1" readingOrder="1"/>
    </xf>
    <xf numFmtId="0" fontId="63" fillId="4" borderId="10" xfId="2" applyFont="1" applyFill="1" applyBorder="1" applyAlignment="1">
      <alignment horizontal="left" vertical="center" wrapText="1" readingOrder="1"/>
    </xf>
    <xf numFmtId="0" fontId="1" fillId="19" borderId="7" xfId="2" applyFont="1" applyFill="1" applyBorder="1" applyAlignment="1">
      <alignment horizontal="left" vertical="center" wrapText="1" readingOrder="1"/>
    </xf>
    <xf numFmtId="0" fontId="1" fillId="0" borderId="7" xfId="2" applyFont="1" applyBorder="1" applyAlignment="1">
      <alignment horizontal="left" vertical="center" wrapText="1" readingOrder="1"/>
    </xf>
    <xf numFmtId="0" fontId="2" fillId="13" borderId="7" xfId="2" applyFont="1" applyFill="1" applyBorder="1" applyAlignment="1">
      <alignment horizontal="left" vertical="center" wrapText="1" readingOrder="1"/>
    </xf>
    <xf numFmtId="0" fontId="59" fillId="13" borderId="7" xfId="2" applyFont="1" applyFill="1" applyBorder="1" applyAlignment="1">
      <alignment horizontal="center" vertical="center" textRotation="90" wrapText="1" readingOrder="1"/>
    </xf>
    <xf numFmtId="0" fontId="59" fillId="13" borderId="7" xfId="2" applyFont="1" applyFill="1" applyBorder="1" applyAlignment="1">
      <alignment horizontal="center" vertical="center" wrapText="1" readingOrder="1"/>
    </xf>
    <xf numFmtId="0" fontId="1" fillId="13" borderId="7" xfId="2" applyFont="1" applyFill="1" applyBorder="1" applyAlignment="1">
      <alignment horizontal="left" vertical="center" wrapText="1" readingOrder="1"/>
    </xf>
    <xf numFmtId="0" fontId="1" fillId="13" borderId="7" xfId="2" applyFont="1" applyFill="1" applyBorder="1" applyAlignment="1">
      <alignment horizontal="center" vertical="center" wrapText="1" readingOrder="1"/>
    </xf>
    <xf numFmtId="0" fontId="1" fillId="13" borderId="13" xfId="2" applyFont="1" applyFill="1" applyBorder="1" applyAlignment="1">
      <alignment horizontal="center" vertical="center" wrapText="1" readingOrder="1"/>
    </xf>
    <xf numFmtId="177" fontId="1" fillId="13" borderId="7" xfId="2" applyNumberFormat="1" applyFont="1" applyFill="1" applyBorder="1" applyAlignment="1">
      <alignment horizontal="center" vertical="center" wrapText="1" readingOrder="1"/>
    </xf>
    <xf numFmtId="0" fontId="1" fillId="13" borderId="7" xfId="2" applyFont="1" applyFill="1" applyBorder="1" applyAlignment="1">
      <alignment horizontal="center" vertical="center" wrapText="1"/>
    </xf>
    <xf numFmtId="0" fontId="2" fillId="13" borderId="7" xfId="2" applyFont="1" applyFill="1" applyBorder="1" applyAlignment="1">
      <alignment horizontal="center" vertical="center" wrapText="1" readingOrder="1"/>
    </xf>
    <xf numFmtId="0" fontId="2" fillId="13" borderId="7" xfId="2" applyFont="1" applyFill="1" applyBorder="1" applyAlignment="1">
      <alignment horizontal="center" vertical="center" wrapText="1"/>
    </xf>
    <xf numFmtId="0" fontId="43" fillId="13" borderId="7" xfId="2" applyFont="1" applyFill="1" applyBorder="1" applyAlignment="1">
      <alignment horizontal="center" vertical="center"/>
    </xf>
    <xf numFmtId="0" fontId="60" fillId="13" borderId="7" xfId="2" applyFont="1" applyFill="1" applyBorder="1" applyAlignment="1">
      <alignment horizontal="center" vertical="center"/>
    </xf>
    <xf numFmtId="17" fontId="43" fillId="13" borderId="7" xfId="2" applyNumberFormat="1" applyFont="1" applyFill="1" applyBorder="1" applyAlignment="1">
      <alignment horizontal="center" vertical="center"/>
    </xf>
    <xf numFmtId="0" fontId="61" fillId="13" borderId="7" xfId="2" applyFont="1" applyFill="1" applyBorder="1" applyAlignment="1">
      <alignment horizontal="center" vertical="center"/>
    </xf>
    <xf numFmtId="0" fontId="61" fillId="13" borderId="0" xfId="2" applyFont="1" applyFill="1" applyBorder="1" applyAlignment="1">
      <alignment horizontal="center" vertical="center"/>
    </xf>
    <xf numFmtId="0" fontId="43" fillId="13" borderId="0" xfId="2" applyFont="1" applyFill="1" applyAlignment="1">
      <alignment horizontal="center" vertical="center" wrapText="1"/>
    </xf>
    <xf numFmtId="0" fontId="58" fillId="13" borderId="0" xfId="2" applyFont="1" applyFill="1" applyAlignment="1">
      <alignment horizontal="center" vertical="center"/>
    </xf>
    <xf numFmtId="0" fontId="1" fillId="13" borderId="9" xfId="2" applyFont="1" applyFill="1" applyBorder="1" applyAlignment="1">
      <alignment horizontal="center" vertical="center" wrapText="1"/>
    </xf>
    <xf numFmtId="0" fontId="1" fillId="13" borderId="9" xfId="2" applyFont="1" applyFill="1" applyBorder="1" applyAlignment="1">
      <alignment vertical="center" wrapText="1"/>
    </xf>
    <xf numFmtId="0" fontId="1" fillId="13" borderId="0" xfId="2" applyFont="1" applyFill="1" applyAlignment="1">
      <alignment vertical="center"/>
    </xf>
    <xf numFmtId="0" fontId="43" fillId="13" borderId="9" xfId="2" applyFont="1" applyFill="1" applyBorder="1" applyAlignment="1">
      <alignment horizontal="center" vertical="center"/>
    </xf>
    <xf numFmtId="0" fontId="43" fillId="13" borderId="0" xfId="2" applyFont="1" applyFill="1" applyBorder="1" applyAlignment="1">
      <alignment horizontal="center" vertical="center"/>
    </xf>
    <xf numFmtId="0" fontId="46" fillId="18" borderId="10" xfId="21" applyFont="1" applyFill="1" applyBorder="1" applyAlignment="1">
      <alignment horizontal="left" vertical="top"/>
    </xf>
    <xf numFmtId="0" fontId="54" fillId="0" borderId="7" xfId="21" applyFont="1" applyBorder="1" applyAlignment="1">
      <alignment horizontal="left" vertical="top" wrapText="1"/>
    </xf>
    <xf numFmtId="0" fontId="54" fillId="0" borderId="7" xfId="21" applyFont="1" applyBorder="1" applyAlignment="1">
      <alignment vertical="top" wrapText="1"/>
    </xf>
    <xf numFmtId="0" fontId="66" fillId="0" borderId="14" xfId="21" applyFont="1" applyBorder="1" applyAlignment="1">
      <alignment horizontal="center" vertical="top" wrapText="1"/>
    </xf>
    <xf numFmtId="0" fontId="66" fillId="0" borderId="15" xfId="21" applyFont="1" applyBorder="1" applyAlignment="1">
      <alignment horizontal="center" vertical="top" wrapText="1"/>
    </xf>
    <xf numFmtId="0" fontId="60" fillId="0" borderId="0" xfId="21" applyFont="1" applyBorder="1" applyAlignment="1">
      <alignment vertical="center" wrapText="1"/>
    </xf>
    <xf numFmtId="0" fontId="42" fillId="0" borderId="7" xfId="21" applyFont="1" applyBorder="1" applyAlignment="1">
      <alignment vertical="center" wrapText="1"/>
    </xf>
    <xf numFmtId="0" fontId="66" fillId="0" borderId="16" xfId="21" applyFont="1" applyBorder="1" applyAlignment="1">
      <alignment vertical="top" wrapText="1"/>
    </xf>
    <xf numFmtId="0" fontId="66" fillId="0" borderId="15" xfId="21" applyFont="1" applyBorder="1" applyAlignment="1">
      <alignment vertical="top" wrapText="1"/>
    </xf>
    <xf numFmtId="0" fontId="66" fillId="0" borderId="14" xfId="21" applyFont="1" applyBorder="1" applyAlignment="1">
      <alignment vertical="top" wrapText="1"/>
    </xf>
    <xf numFmtId="0" fontId="66" fillId="0" borderId="17" xfId="21" applyFont="1" applyBorder="1" applyAlignment="1">
      <alignment vertical="top" wrapText="1"/>
    </xf>
    <xf numFmtId="0" fontId="66" fillId="0" borderId="18" xfId="21" applyFont="1" applyBorder="1" applyAlignment="1">
      <alignment vertical="top" wrapText="1"/>
    </xf>
    <xf numFmtId="0" fontId="66" fillId="0" borderId="19" xfId="21" applyFont="1" applyBorder="1" applyAlignment="1">
      <alignment vertical="top" wrapText="1"/>
    </xf>
    <xf numFmtId="0" fontId="67" fillId="0" borderId="0" xfId="21" applyFont="1" applyAlignment="1"/>
    <xf numFmtId="0" fontId="9" fillId="0" borderId="0" xfId="17" applyFont="1"/>
    <xf numFmtId="0" fontId="10" fillId="0" borderId="0" xfId="17" applyFont="1"/>
    <xf numFmtId="0" fontId="68" fillId="0" borderId="7" xfId="17" applyFont="1" applyBorder="1" applyAlignment="1">
      <alignment horizontal="center" vertical="center" wrapText="1"/>
    </xf>
    <xf numFmtId="0" fontId="69" fillId="0" borderId="7" xfId="17" applyFont="1" applyBorder="1" applyAlignment="1">
      <alignment horizontal="center" vertical="center" wrapText="1"/>
    </xf>
    <xf numFmtId="0" fontId="68" fillId="0" borderId="7" xfId="17" applyFont="1" applyBorder="1" applyAlignment="1">
      <alignment horizontal="justify" vertical="top" wrapText="1"/>
    </xf>
    <xf numFmtId="0" fontId="70" fillId="0" borderId="7" xfId="17" applyFont="1" applyBorder="1" applyAlignment="1">
      <alignment horizontal="justify" vertical="top" wrapText="1"/>
    </xf>
    <xf numFmtId="0" fontId="10" fillId="0" borderId="0" xfId="17" applyFont="1" applyBorder="1"/>
    <xf numFmtId="0" fontId="71" fillId="0" borderId="0" xfId="0" applyFont="1" applyAlignment="1">
      <alignment vertical="center"/>
    </xf>
    <xf numFmtId="0" fontId="46" fillId="0" borderId="7" xfId="0" applyFont="1" applyBorder="1" applyAlignment="1">
      <alignment horizontal="center" vertical="center"/>
    </xf>
    <xf numFmtId="0" fontId="46" fillId="0" borderId="20" xfId="0" applyFont="1" applyBorder="1" applyAlignment="1">
      <alignment vertical="top" wrapText="1"/>
    </xf>
    <xf numFmtId="0" fontId="46" fillId="0" borderId="7" xfId="0" applyFont="1" applyBorder="1" applyAlignment="1">
      <alignment horizontal="center"/>
    </xf>
    <xf numFmtId="0" fontId="72" fillId="20" borderId="7" xfId="0" applyFont="1" applyFill="1" applyBorder="1" applyAlignment="1">
      <alignment horizontal="center"/>
    </xf>
    <xf numFmtId="0" fontId="72" fillId="12" borderId="7" xfId="0" applyFont="1" applyFill="1" applyBorder="1" applyAlignment="1">
      <alignment horizontal="center"/>
    </xf>
    <xf numFmtId="0" fontId="72" fillId="21" borderId="7" xfId="0" applyFont="1" applyFill="1" applyBorder="1" applyAlignment="1">
      <alignment horizontal="center"/>
    </xf>
    <xf numFmtId="0" fontId="46" fillId="0" borderId="0" xfId="0" applyFont="1"/>
    <xf numFmtId="0" fontId="72" fillId="0" borderId="0" xfId="0" applyFont="1" applyFill="1" applyAlignment="1">
      <alignment horizontal="center"/>
    </xf>
    <xf numFmtId="0" fontId="0" fillId="0" borderId="0" xfId="0" applyFont="1" applyProtection="1">
      <protection locked="0"/>
    </xf>
    <xf numFmtId="0" fontId="9" fillId="0" borderId="0" xfId="0" applyFont="1" applyProtection="1">
      <protection locked="0"/>
    </xf>
    <xf numFmtId="0" fontId="54" fillId="0" borderId="0" xfId="6" applyFont="1">
      <alignment vertical="center"/>
    </xf>
    <xf numFmtId="0" fontId="54" fillId="0" borderId="21" xfId="6" applyFont="1" applyBorder="1">
      <alignment vertical="center"/>
    </xf>
    <xf numFmtId="0" fontId="54" fillId="0" borderId="13" xfId="6" applyFont="1" applyBorder="1">
      <alignment vertical="center"/>
    </xf>
    <xf numFmtId="0" fontId="0" fillId="0" borderId="19" xfId="0" applyBorder="1" applyAlignment="1">
      <alignment vertical="center"/>
    </xf>
    <xf numFmtId="0" fontId="54" fillId="0" borderId="7" xfId="6" applyFont="1" applyBorder="1" applyAlignment="1">
      <alignment horizontal="center" vertical="center" wrapText="1"/>
    </xf>
    <xf numFmtId="0" fontId="54" fillId="0" borderId="0" xfId="6" applyFont="1" applyBorder="1">
      <alignment vertical="center"/>
    </xf>
    <xf numFmtId="0" fontId="73" fillId="0" borderId="0" xfId="6" applyFont="1">
      <alignment vertical="center"/>
    </xf>
    <xf numFmtId="0" fontId="54" fillId="0" borderId="0" xfId="6" applyFont="1" applyAlignment="1">
      <alignment horizontal="right" vertical="center"/>
    </xf>
    <xf numFmtId="0" fontId="54" fillId="0" borderId="7" xfId="6" applyFont="1" applyBorder="1">
      <alignment vertical="center"/>
    </xf>
    <xf numFmtId="0" fontId="74" fillId="9" borderId="7" xfId="2" applyFont="1" applyFill="1" applyBorder="1" applyAlignment="1">
      <alignment horizontal="center" vertical="top" wrapText="1" readingOrder="1"/>
    </xf>
    <xf numFmtId="0" fontId="74" fillId="5" borderId="10" xfId="2" applyFont="1" applyFill="1" applyBorder="1" applyAlignment="1">
      <alignment horizontal="center" vertical="top" wrapText="1" readingOrder="1"/>
    </xf>
    <xf numFmtId="0" fontId="75" fillId="4" borderId="10" xfId="2" applyFont="1" applyFill="1" applyBorder="1" applyAlignment="1">
      <alignment horizontal="center" vertical="top" wrapText="1"/>
    </xf>
    <xf numFmtId="0" fontId="75" fillId="7" borderId="10" xfId="2" applyFont="1" applyFill="1" applyBorder="1" applyAlignment="1">
      <alignment horizontal="center" vertical="top" wrapText="1"/>
    </xf>
    <xf numFmtId="0" fontId="63" fillId="5" borderId="10" xfId="2" applyFont="1" applyFill="1" applyBorder="1" applyAlignment="1">
      <alignment horizontal="left" vertical="center" wrapText="1" readingOrder="1"/>
    </xf>
    <xf numFmtId="0" fontId="74" fillId="5" borderId="7" xfId="2" applyFont="1" applyFill="1" applyBorder="1" applyAlignment="1">
      <alignment horizontal="center" vertical="top" wrapText="1" readingOrder="1"/>
    </xf>
    <xf numFmtId="0" fontId="74" fillId="19" borderId="7" xfId="2" applyFont="1" applyFill="1" applyBorder="1" applyAlignment="1">
      <alignment horizontal="center" vertical="top" wrapText="1" readingOrder="1"/>
    </xf>
    <xf numFmtId="0" fontId="51" fillId="13" borderId="7" xfId="2" applyFont="1" applyFill="1" applyBorder="1" applyAlignment="1">
      <alignment horizontal="center" vertical="top" wrapText="1"/>
    </xf>
    <xf numFmtId="0" fontId="74" fillId="0" borderId="7" xfId="2" applyFont="1" applyBorder="1" applyAlignment="1">
      <alignment horizontal="center" vertical="top" wrapText="1" readingOrder="1"/>
    </xf>
    <xf numFmtId="0" fontId="76" fillId="0" borderId="0" xfId="6" applyFont="1" applyBorder="1">
      <alignment vertical="center"/>
    </xf>
    <xf numFmtId="49" fontId="76" fillId="0" borderId="0" xfId="6" applyNumberFormat="1" applyFont="1" applyBorder="1">
      <alignment vertical="center"/>
    </xf>
    <xf numFmtId="0" fontId="74" fillId="9" borderId="7" xfId="2" applyFont="1" applyFill="1" applyBorder="1" applyAlignment="1">
      <alignment horizontal="left" vertical="center" wrapText="1" readingOrder="1"/>
    </xf>
    <xf numFmtId="0" fontId="73" fillId="0" borderId="8" xfId="6" applyFont="1" applyBorder="1">
      <alignment vertical="center"/>
    </xf>
    <xf numFmtId="0" fontId="74" fillId="5" borderId="7" xfId="2" applyFont="1" applyFill="1" applyBorder="1" applyAlignment="1">
      <alignment horizontal="left" vertical="center" wrapText="1" readingOrder="1"/>
    </xf>
    <xf numFmtId="0" fontId="54" fillId="0" borderId="8" xfId="6" applyFont="1" applyBorder="1">
      <alignment vertical="center"/>
    </xf>
    <xf numFmtId="0" fontId="51" fillId="5" borderId="7" xfId="2" applyFont="1" applyFill="1" applyBorder="1" applyAlignment="1">
      <alignment horizontal="left" vertical="center"/>
    </xf>
    <xf numFmtId="0" fontId="75" fillId="5" borderId="7" xfId="2" applyFont="1" applyFill="1" applyBorder="1" applyAlignment="1">
      <alignment horizontal="left" vertical="center"/>
    </xf>
    <xf numFmtId="0" fontId="75" fillId="5" borderId="7" xfId="2" applyFont="1" applyFill="1" applyBorder="1" applyAlignment="1">
      <alignment horizontal="left" vertical="center" wrapText="1" readingOrder="1"/>
    </xf>
    <xf numFmtId="0" fontId="75" fillId="4" borderId="10" xfId="2" applyFont="1" applyFill="1" applyBorder="1" applyAlignment="1">
      <alignment horizontal="left" vertical="center" wrapText="1"/>
    </xf>
    <xf numFmtId="0" fontId="51" fillId="4" borderId="10" xfId="2" applyFont="1" applyFill="1" applyBorder="1" applyAlignment="1">
      <alignment horizontal="left" vertical="center" wrapText="1"/>
    </xf>
    <xf numFmtId="0" fontId="75" fillId="4" borderId="7" xfId="2" applyFont="1" applyFill="1" applyBorder="1" applyAlignment="1">
      <alignment horizontal="left" vertical="center" wrapText="1" readingOrder="1"/>
    </xf>
    <xf numFmtId="0" fontId="74" fillId="4" borderId="7" xfId="2" applyFont="1" applyFill="1" applyBorder="1" applyAlignment="1">
      <alignment horizontal="left" vertical="center" wrapText="1" readingOrder="1"/>
    </xf>
    <xf numFmtId="0" fontId="75" fillId="7" borderId="10" xfId="2" applyFont="1" applyFill="1" applyBorder="1" applyAlignment="1">
      <alignment horizontal="left" vertical="center" wrapText="1" readingOrder="1"/>
    </xf>
    <xf numFmtId="0" fontId="74" fillId="7" borderId="10" xfId="2" applyFont="1" applyFill="1" applyBorder="1" applyAlignment="1">
      <alignment horizontal="left" vertical="center" wrapText="1" readingOrder="1"/>
    </xf>
    <xf numFmtId="0" fontId="75" fillId="7" borderId="7" xfId="2" applyFont="1" applyFill="1" applyBorder="1" applyAlignment="1">
      <alignment horizontal="left" vertical="center" wrapText="1" readingOrder="1"/>
    </xf>
    <xf numFmtId="0" fontId="74" fillId="7" borderId="7" xfId="2" applyFont="1" applyFill="1" applyBorder="1" applyAlignment="1">
      <alignment horizontal="left" vertical="center" wrapText="1" readingOrder="1"/>
    </xf>
    <xf numFmtId="0" fontId="74" fillId="19" borderId="7" xfId="2" applyFont="1" applyFill="1" applyBorder="1" applyAlignment="1">
      <alignment horizontal="left" vertical="center" wrapText="1" readingOrder="1"/>
    </xf>
    <xf numFmtId="0" fontId="51" fillId="13" borderId="7" xfId="2" applyFont="1" applyFill="1" applyBorder="1" applyAlignment="1">
      <alignment horizontal="left" vertical="center" wrapText="1"/>
    </xf>
    <xf numFmtId="0" fontId="74" fillId="0" borderId="7" xfId="2" applyFont="1" applyBorder="1" applyAlignment="1">
      <alignment horizontal="left" vertical="center" wrapText="1" readingOrder="1"/>
    </xf>
    <xf numFmtId="0" fontId="54" fillId="0" borderId="13" xfId="6" applyFont="1" applyBorder="1" applyAlignment="1">
      <alignment vertical="center"/>
    </xf>
    <xf numFmtId="0" fontId="73" fillId="0" borderId="7" xfId="6" applyFont="1" applyBorder="1" applyAlignment="1">
      <alignment horizontal="center" vertical="center"/>
    </xf>
    <xf numFmtId="0" fontId="1" fillId="13" borderId="9" xfId="2" applyFont="1" applyFill="1" applyBorder="1" applyAlignment="1">
      <alignment horizontal="center" vertical="center" wrapText="1" readingOrder="1"/>
    </xf>
    <xf numFmtId="0" fontId="73" fillId="0" borderId="7" xfId="6" applyFont="1" applyBorder="1">
      <alignment vertical="center"/>
    </xf>
    <xf numFmtId="0" fontId="1" fillId="5" borderId="9" xfId="2" applyFont="1" applyFill="1" applyBorder="1" applyAlignment="1">
      <alignment horizontal="center" vertical="center" wrapText="1" readingOrder="1"/>
    </xf>
    <xf numFmtId="0" fontId="54" fillId="0" borderId="7" xfId="6" applyFont="1" applyBorder="1" applyAlignment="1">
      <alignment horizontal="center" vertical="center"/>
    </xf>
    <xf numFmtId="0" fontId="73" fillId="0" borderId="13" xfId="6" applyFont="1" applyBorder="1">
      <alignment vertical="center"/>
    </xf>
    <xf numFmtId="0" fontId="73" fillId="0" borderId="21" xfId="6" applyFont="1" applyBorder="1">
      <alignment vertical="center"/>
    </xf>
    <xf numFmtId="0" fontId="54" fillId="0" borderId="22" xfId="6" applyFont="1" applyBorder="1">
      <alignment vertical="center"/>
    </xf>
    <xf numFmtId="0" fontId="73" fillId="0" borderId="23" xfId="6" applyFont="1" applyBorder="1">
      <alignment vertical="center"/>
    </xf>
    <xf numFmtId="0" fontId="54" fillId="0" borderId="23" xfId="6" applyFont="1" applyBorder="1">
      <alignment vertical="center"/>
    </xf>
    <xf numFmtId="0" fontId="74" fillId="0" borderId="10" xfId="2" applyFont="1" applyBorder="1" applyAlignment="1">
      <alignment horizontal="center" vertical="top" wrapText="1" readingOrder="1"/>
    </xf>
    <xf numFmtId="0" fontId="74" fillId="0" borderId="10" xfId="2" applyFont="1" applyBorder="1" applyAlignment="1">
      <alignment horizontal="left" vertical="center" wrapText="1" readingOrder="1"/>
    </xf>
    <xf numFmtId="0" fontId="74" fillId="0" borderId="7" xfId="2" applyFont="1" applyBorder="1" applyAlignment="1">
      <alignment horizontal="left" vertical="top" wrapText="1" readingOrder="1"/>
    </xf>
    <xf numFmtId="0" fontId="50" fillId="0" borderId="7" xfId="2" applyFont="1" applyFill="1" applyBorder="1" applyAlignment="1">
      <alignment horizontal="center" vertical="center" wrapText="1"/>
    </xf>
    <xf numFmtId="0" fontId="52" fillId="0" borderId="7" xfId="2" applyFont="1" applyFill="1" applyBorder="1" applyAlignment="1">
      <alignment horizontal="center" vertical="center" wrapText="1" readingOrder="1"/>
    </xf>
    <xf numFmtId="0" fontId="24" fillId="0" borderId="7" xfId="2" applyFont="1" applyFill="1" applyBorder="1" applyAlignment="1">
      <alignment horizontal="center" vertical="center" wrapText="1" readingOrder="1"/>
    </xf>
    <xf numFmtId="0" fontId="1" fillId="0" borderId="7" xfId="2" applyFont="1" applyFill="1" applyBorder="1" applyAlignment="1">
      <alignment horizontal="center" vertical="center" wrapText="1"/>
    </xf>
    <xf numFmtId="0" fontId="52" fillId="0" borderId="7" xfId="2" applyFont="1" applyFill="1" applyBorder="1" applyAlignment="1">
      <alignment horizontal="center" vertical="center" textRotation="90" wrapText="1" readingOrder="1"/>
    </xf>
    <xf numFmtId="0" fontId="50" fillId="0" borderId="0" xfId="2" applyFont="1" applyFill="1" applyAlignment="1">
      <alignment horizontal="center" vertical="center"/>
    </xf>
    <xf numFmtId="0" fontId="51" fillId="0" borderId="7" xfId="2" applyFont="1" applyFill="1" applyBorder="1" applyAlignment="1">
      <alignment horizontal="center" vertical="center"/>
    </xf>
    <xf numFmtId="0" fontId="51" fillId="0" borderId="0" xfId="1" applyFont="1" applyFill="1" applyAlignment="1">
      <alignment horizontal="center" vertical="center" wrapText="1"/>
    </xf>
    <xf numFmtId="0" fontId="25" fillId="0" borderId="7" xfId="0" applyNumberFormat="1" applyFont="1" applyFill="1" applyBorder="1" applyAlignment="1">
      <alignment horizontal="left" vertical="center" wrapText="1"/>
    </xf>
    <xf numFmtId="0" fontId="25" fillId="0" borderId="7" xfId="0" applyNumberFormat="1" applyFont="1" applyFill="1" applyBorder="1" applyAlignment="1">
      <alignment vertical="center"/>
    </xf>
    <xf numFmtId="0" fontId="25" fillId="0" borderId="7" xfId="0" applyNumberFormat="1" applyFont="1" applyFill="1" applyBorder="1" applyAlignment="1">
      <alignment vertical="center" wrapText="1"/>
    </xf>
    <xf numFmtId="0" fontId="25" fillId="0" borderId="7" xfId="0" applyNumberFormat="1" applyFont="1" applyFill="1" applyBorder="1" applyAlignment="1">
      <alignment horizontal="left" vertical="center"/>
    </xf>
    <xf numFmtId="0" fontId="77" fillId="0" borderId="7" xfId="0" applyNumberFormat="1" applyFont="1" applyFill="1" applyBorder="1" applyAlignment="1">
      <alignment horizontal="left" vertical="center"/>
    </xf>
    <xf numFmtId="0" fontId="77" fillId="0" borderId="7" xfId="0" applyNumberFormat="1" applyFont="1" applyFill="1" applyBorder="1" applyAlignment="1">
      <alignment horizontal="left" vertical="center" wrapText="1"/>
    </xf>
    <xf numFmtId="0" fontId="78" fillId="0" borderId="7" xfId="21" applyFont="1" applyBorder="1" applyAlignment="1">
      <alignment horizontal="left" vertical="top" wrapText="1"/>
    </xf>
    <xf numFmtId="0" fontId="79" fillId="0" borderId="9" xfId="21" applyFont="1" applyBorder="1" applyAlignment="1">
      <alignment vertical="top" wrapText="1"/>
    </xf>
    <xf numFmtId="0" fontId="28" fillId="0" borderId="7" xfId="2" applyFont="1" applyFill="1" applyBorder="1" applyAlignment="1">
      <alignment horizontal="center" vertical="center" wrapText="1" readingOrder="1"/>
    </xf>
    <xf numFmtId="0" fontId="78" fillId="0" borderId="12" xfId="21" applyFont="1" applyBorder="1" applyAlignment="1">
      <alignment horizontal="left" vertical="top" wrapText="1"/>
    </xf>
    <xf numFmtId="0" fontId="29" fillId="0" borderId="7" xfId="2" applyFont="1" applyFill="1" applyBorder="1" applyAlignment="1">
      <alignment horizontal="center" vertical="center" wrapText="1" readingOrder="1"/>
    </xf>
    <xf numFmtId="0" fontId="52" fillId="17" borderId="7" xfId="2" applyFont="1" applyFill="1" applyBorder="1" applyAlignment="1">
      <alignment horizontal="center" vertical="center" textRotation="90" wrapText="1" readingOrder="1"/>
    </xf>
    <xf numFmtId="0" fontId="50" fillId="0" borderId="7" xfId="2" applyFont="1" applyFill="1" applyBorder="1" applyAlignment="1">
      <alignment horizontal="center" vertical="center" wrapText="1"/>
    </xf>
    <xf numFmtId="0" fontId="52" fillId="0" borderId="7" xfId="2" applyFont="1" applyFill="1" applyBorder="1" applyAlignment="1">
      <alignment horizontal="center" vertical="center" wrapText="1" readingOrder="1"/>
    </xf>
    <xf numFmtId="0" fontId="30" fillId="0" borderId="7" xfId="2" applyFont="1" applyFill="1" applyBorder="1" applyAlignment="1">
      <alignment horizontal="center" vertical="center" wrapText="1" readingOrder="1"/>
    </xf>
    <xf numFmtId="0" fontId="32" fillId="0" borderId="7" xfId="2" applyFont="1" applyFill="1" applyBorder="1" applyAlignment="1">
      <alignment horizontal="center" vertical="center" wrapText="1" readingOrder="1"/>
    </xf>
    <xf numFmtId="0" fontId="31" fillId="0" borderId="7" xfId="0" applyNumberFormat="1" applyFont="1" applyFill="1" applyBorder="1" applyAlignment="1">
      <alignment horizontal="left" vertical="center" wrapText="1"/>
    </xf>
    <xf numFmtId="0" fontId="52" fillId="17" borderId="7" xfId="2" applyFont="1" applyFill="1" applyBorder="1" applyAlignment="1">
      <alignment horizontal="center" vertical="center" textRotation="90" wrapText="1" readingOrder="1"/>
    </xf>
    <xf numFmtId="0" fontId="5" fillId="0" borderId="7" xfId="0" applyNumberFormat="1" applyFont="1" applyFill="1" applyBorder="1" applyAlignment="1">
      <alignment vertical="center" wrapText="1"/>
    </xf>
    <xf numFmtId="0" fontId="5" fillId="0" borderId="7" xfId="0" applyNumberFormat="1" applyFont="1" applyFill="1" applyBorder="1" applyAlignment="1">
      <alignment horizontal="left" vertical="center" wrapText="1"/>
    </xf>
    <xf numFmtId="0" fontId="80" fillId="0" borderId="7" xfId="0" applyNumberFormat="1" applyFont="1" applyFill="1" applyBorder="1" applyAlignment="1">
      <alignment horizontal="left" vertical="center" wrapText="1"/>
    </xf>
    <xf numFmtId="0" fontId="80" fillId="0" borderId="7" xfId="0" applyNumberFormat="1" applyFont="1" applyFill="1" applyBorder="1" applyAlignment="1">
      <alignment horizontal="left" vertical="center"/>
    </xf>
    <xf numFmtId="0" fontId="57" fillId="0" borderId="7" xfId="0" applyNumberFormat="1" applyFont="1" applyFill="1" applyBorder="1" applyAlignment="1">
      <alignment horizontal="left" vertical="center" wrapText="1"/>
    </xf>
    <xf numFmtId="0" fontId="57" fillId="0" borderId="7" xfId="0" applyNumberFormat="1" applyFont="1" applyFill="1" applyBorder="1" applyAlignment="1">
      <alignment horizontal="left" vertical="center"/>
    </xf>
    <xf numFmtId="0" fontId="78" fillId="0" borderId="7" xfId="21" applyFont="1" applyBorder="1" applyAlignment="1">
      <alignment horizontal="left" vertical="top" wrapText="1"/>
    </xf>
    <xf numFmtId="0" fontId="78" fillId="0" borderId="7" xfId="21" applyFont="1" applyBorder="1" applyAlignment="1">
      <alignment vertical="top" wrapText="1"/>
    </xf>
    <xf numFmtId="0" fontId="41" fillId="0" borderId="7" xfId="2" applyFont="1" applyFill="1" applyBorder="1" applyAlignment="1">
      <alignment horizontal="center" vertical="center" wrapText="1" readingOrder="1"/>
    </xf>
    <xf numFmtId="0" fontId="62" fillId="0" borderId="7" xfId="2" applyFont="1" applyFill="1" applyBorder="1" applyAlignment="1">
      <alignment horizontal="center" vertical="center" wrapText="1" readingOrder="1"/>
    </xf>
    <xf numFmtId="0" fontId="61" fillId="0" borderId="7" xfId="2" applyFont="1" applyFill="1" applyBorder="1" applyAlignment="1">
      <alignment horizontal="center" vertical="center" wrapText="1" readingOrder="1"/>
    </xf>
    <xf numFmtId="0" fontId="41" fillId="0" borderId="7" xfId="2" applyFont="1" applyFill="1" applyBorder="1" applyAlignment="1">
      <alignment vertical="center" wrapText="1" readingOrder="1"/>
    </xf>
    <xf numFmtId="0" fontId="51" fillId="13" borderId="7" xfId="2" applyFont="1" applyFill="1" applyBorder="1" applyAlignment="1">
      <alignment horizontal="center" vertical="center"/>
    </xf>
    <xf numFmtId="0" fontId="54" fillId="22" borderId="29" xfId="6" applyFont="1" applyFill="1" applyBorder="1" applyAlignment="1">
      <alignment horizontal="center" vertical="center" wrapText="1"/>
    </xf>
    <xf numFmtId="0" fontId="54" fillId="22" borderId="7" xfId="6" applyFont="1" applyFill="1" applyBorder="1" applyAlignment="1">
      <alignment horizontal="center" vertical="center" wrapText="1"/>
    </xf>
    <xf numFmtId="0" fontId="54" fillId="6" borderId="18" xfId="6" applyFont="1" applyFill="1" applyBorder="1" applyAlignment="1">
      <alignment horizontal="center" vertical="center" wrapText="1"/>
    </xf>
    <xf numFmtId="0" fontId="54" fillId="6" borderId="24" xfId="6" applyFont="1" applyFill="1" applyBorder="1" applyAlignment="1">
      <alignment horizontal="center" vertical="center" wrapText="1"/>
    </xf>
    <xf numFmtId="0" fontId="54" fillId="6" borderId="19" xfId="6" applyFont="1" applyFill="1" applyBorder="1" applyAlignment="1">
      <alignment horizontal="center" vertical="center" wrapText="1"/>
    </xf>
    <xf numFmtId="0" fontId="54" fillId="6" borderId="0" xfId="6" applyFont="1" applyFill="1" applyAlignment="1">
      <alignment horizontal="center" vertical="center" wrapText="1"/>
    </xf>
    <xf numFmtId="0" fontId="54" fillId="4" borderId="29" xfId="6" applyFont="1" applyFill="1" applyBorder="1" applyAlignment="1">
      <alignment horizontal="center" vertical="center" wrapText="1"/>
    </xf>
    <xf numFmtId="0" fontId="54" fillId="4" borderId="7" xfId="6" applyFont="1" applyFill="1" applyBorder="1" applyAlignment="1">
      <alignment horizontal="center" vertical="center" wrapText="1"/>
    </xf>
    <xf numFmtId="0" fontId="54" fillId="4" borderId="34" xfId="6" applyFont="1" applyFill="1" applyBorder="1" applyAlignment="1">
      <alignment horizontal="center" vertical="center" wrapText="1"/>
    </xf>
    <xf numFmtId="0" fontId="54" fillId="4" borderId="10" xfId="6" applyFont="1" applyFill="1" applyBorder="1" applyAlignment="1">
      <alignment horizontal="center" vertical="center" wrapText="1"/>
    </xf>
    <xf numFmtId="0" fontId="54" fillId="4" borderId="23" xfId="6" applyFont="1" applyFill="1" applyBorder="1" applyAlignment="1">
      <alignment horizontal="center" vertical="center" wrapText="1"/>
    </xf>
    <xf numFmtId="0" fontId="54" fillId="4" borderId="31" xfId="6" applyFont="1" applyFill="1" applyBorder="1" applyAlignment="1">
      <alignment horizontal="center" vertical="center" wrapText="1"/>
    </xf>
    <xf numFmtId="0" fontId="54" fillId="5" borderId="29" xfId="6" applyFont="1" applyFill="1" applyBorder="1" applyAlignment="1">
      <alignment horizontal="center" vertical="center" wrapText="1"/>
    </xf>
    <xf numFmtId="0" fontId="54" fillId="5" borderId="7" xfId="6" applyFont="1" applyFill="1" applyBorder="1" applyAlignment="1">
      <alignment horizontal="center" vertical="center" wrapText="1"/>
    </xf>
    <xf numFmtId="0" fontId="54" fillId="5" borderId="34" xfId="6" applyFont="1" applyFill="1" applyBorder="1" applyAlignment="1">
      <alignment horizontal="center" vertical="center" wrapText="1"/>
    </xf>
    <xf numFmtId="0" fontId="54" fillId="5" borderId="10" xfId="6" applyFont="1" applyFill="1" applyBorder="1" applyAlignment="1">
      <alignment horizontal="center" vertical="center" wrapText="1"/>
    </xf>
    <xf numFmtId="0" fontId="54" fillId="7" borderId="7" xfId="6" applyFont="1" applyFill="1" applyBorder="1" applyAlignment="1">
      <alignment horizontal="center" vertical="center" textRotation="90" wrapText="1"/>
    </xf>
    <xf numFmtId="0" fontId="54" fillId="6" borderId="23" xfId="6" applyFont="1" applyFill="1" applyBorder="1" applyAlignment="1">
      <alignment horizontal="center" vertical="center" textRotation="90" wrapText="1"/>
    </xf>
    <xf numFmtId="0" fontId="54" fillId="5" borderId="23" xfId="6" applyFont="1" applyFill="1" applyBorder="1" applyAlignment="1">
      <alignment horizontal="center" vertical="center" wrapText="1"/>
    </xf>
    <xf numFmtId="0" fontId="54" fillId="5" borderId="31" xfId="6" applyFont="1" applyFill="1" applyBorder="1" applyAlignment="1">
      <alignment horizontal="center" vertical="center" wrapText="1"/>
    </xf>
    <xf numFmtId="0" fontId="54" fillId="6" borderId="32" xfId="6" applyFont="1" applyFill="1" applyBorder="1" applyAlignment="1">
      <alignment horizontal="center" vertical="center" wrapText="1"/>
    </xf>
    <xf numFmtId="0" fontId="54" fillId="6" borderId="33" xfId="6" applyFont="1" applyFill="1" applyBorder="1" applyAlignment="1">
      <alignment horizontal="center" vertical="center" wrapText="1"/>
    </xf>
    <xf numFmtId="0" fontId="54" fillId="7" borderId="29" xfId="6" applyFont="1" applyFill="1" applyBorder="1" applyAlignment="1">
      <alignment horizontal="center" vertical="center" wrapText="1"/>
    </xf>
    <xf numFmtId="0" fontId="54" fillId="7" borderId="7" xfId="6" applyFont="1" applyFill="1" applyBorder="1" applyAlignment="1">
      <alignment horizontal="center" vertical="center" wrapText="1"/>
    </xf>
    <xf numFmtId="0" fontId="73" fillId="0" borderId="29" xfId="6" applyFont="1" applyBorder="1" applyAlignment="1">
      <alignment horizontal="center" vertical="center"/>
    </xf>
    <xf numFmtId="0" fontId="73" fillId="0" borderId="7" xfId="6" applyFont="1" applyBorder="1" applyAlignment="1">
      <alignment horizontal="center" vertical="center"/>
    </xf>
    <xf numFmtId="0" fontId="54" fillId="5" borderId="7" xfId="6" applyFont="1" applyFill="1" applyBorder="1" applyAlignment="1">
      <alignment horizontal="center" vertical="center" textRotation="90" wrapText="1"/>
    </xf>
    <xf numFmtId="0" fontId="54" fillId="5" borderId="10" xfId="6" applyFont="1" applyFill="1" applyBorder="1" applyAlignment="1">
      <alignment horizontal="center" vertical="center" textRotation="90" wrapText="1"/>
    </xf>
    <xf numFmtId="0" fontId="54" fillId="6" borderId="7" xfId="6" applyFont="1" applyFill="1" applyBorder="1" applyAlignment="1">
      <alignment horizontal="center" vertical="center" textRotation="90" wrapText="1"/>
    </xf>
    <xf numFmtId="0" fontId="54" fillId="6" borderId="10" xfId="6" applyFont="1" applyFill="1" applyBorder="1" applyAlignment="1">
      <alignment horizontal="center" vertical="center" textRotation="90" wrapText="1"/>
    </xf>
    <xf numFmtId="0" fontId="54" fillId="6" borderId="7" xfId="6" applyFont="1" applyFill="1" applyBorder="1" applyAlignment="1">
      <alignment horizontal="center" vertical="center" textRotation="90"/>
    </xf>
    <xf numFmtId="0" fontId="54" fillId="6" borderId="10" xfId="6" applyFont="1" applyFill="1" applyBorder="1" applyAlignment="1">
      <alignment horizontal="center" vertical="center" textRotation="90"/>
    </xf>
    <xf numFmtId="0" fontId="54" fillId="6" borderId="18" xfId="6" applyFont="1" applyFill="1" applyBorder="1" applyAlignment="1">
      <alignment horizontal="center" vertical="center" textRotation="90" wrapText="1"/>
    </xf>
    <xf numFmtId="0" fontId="54" fillId="6" borderId="19" xfId="6" applyFont="1" applyFill="1" applyBorder="1" applyAlignment="1">
      <alignment horizontal="center" vertical="center" textRotation="90" wrapText="1"/>
    </xf>
    <xf numFmtId="0" fontId="54" fillId="0" borderId="29" xfId="6" applyFont="1" applyBorder="1" applyAlignment="1">
      <alignment horizontal="center" vertical="center" wrapText="1"/>
    </xf>
    <xf numFmtId="0" fontId="54" fillId="0" borderId="7" xfId="6" applyFont="1" applyBorder="1" applyAlignment="1">
      <alignment horizontal="center" vertical="center" wrapText="1"/>
    </xf>
    <xf numFmtId="0" fontId="54" fillId="0" borderId="23" xfId="6" applyFont="1" applyBorder="1" applyAlignment="1">
      <alignment horizontal="center" vertical="center" wrapText="1"/>
    </xf>
    <xf numFmtId="0" fontId="54" fillId="0" borderId="29" xfId="6" applyFont="1" applyBorder="1" applyAlignment="1">
      <alignment horizontal="center" vertical="center"/>
    </xf>
    <xf numFmtId="0" fontId="54" fillId="0" borderId="7" xfId="6" applyFont="1" applyBorder="1" applyAlignment="1">
      <alignment horizontal="center" vertical="center"/>
    </xf>
    <xf numFmtId="0" fontId="54" fillId="0" borderId="8" xfId="6" applyFont="1" applyBorder="1" applyAlignment="1">
      <alignment horizontal="center" vertical="center" wrapText="1"/>
    </xf>
    <xf numFmtId="0" fontId="54" fillId="0" borderId="13" xfId="6" applyFont="1" applyBorder="1" applyAlignment="1">
      <alignment horizontal="center" vertical="center" wrapText="1"/>
    </xf>
    <xf numFmtId="0" fontId="54" fillId="0" borderId="30" xfId="6" applyFont="1" applyBorder="1" applyAlignment="1">
      <alignment horizontal="center" vertical="center" wrapText="1"/>
    </xf>
    <xf numFmtId="0" fontId="83" fillId="22" borderId="25" xfId="6" applyFont="1" applyFill="1" applyBorder="1" applyAlignment="1">
      <alignment horizontal="center" vertical="center"/>
    </xf>
    <xf numFmtId="0" fontId="54" fillId="22" borderId="26" xfId="6" applyFont="1" applyFill="1" applyBorder="1" applyAlignment="1">
      <alignment horizontal="center" vertical="center"/>
    </xf>
    <xf numFmtId="0" fontId="83" fillId="4" borderId="25" xfId="6" applyFont="1" applyFill="1" applyBorder="1" applyAlignment="1">
      <alignment horizontal="center" vertical="center"/>
    </xf>
    <xf numFmtId="0" fontId="54" fillId="4" borderId="26" xfId="6" applyFont="1" applyFill="1" applyBorder="1" applyAlignment="1">
      <alignment horizontal="center" vertical="center"/>
    </xf>
    <xf numFmtId="0" fontId="54" fillId="4" borderId="22" xfId="6" applyFont="1" applyFill="1" applyBorder="1" applyAlignment="1">
      <alignment horizontal="center" vertical="center"/>
    </xf>
    <xf numFmtId="0" fontId="83" fillId="5" borderId="25" xfId="6" applyFont="1" applyFill="1" applyBorder="1" applyAlignment="1">
      <alignment horizontal="center" vertical="center"/>
    </xf>
    <xf numFmtId="0" fontId="54" fillId="5" borderId="26" xfId="6" applyFont="1" applyFill="1" applyBorder="1" applyAlignment="1">
      <alignment horizontal="center" vertical="center"/>
    </xf>
    <xf numFmtId="0" fontId="54" fillId="5" borderId="22" xfId="6" applyFont="1" applyFill="1" applyBorder="1" applyAlignment="1">
      <alignment horizontal="center" vertical="center"/>
    </xf>
    <xf numFmtId="0" fontId="83" fillId="6" borderId="27" xfId="6" applyFont="1" applyFill="1" applyBorder="1" applyAlignment="1">
      <alignment horizontal="center" vertical="center"/>
    </xf>
    <xf numFmtId="0" fontId="83" fillId="6" borderId="28" xfId="6" applyFont="1" applyFill="1" applyBorder="1" applyAlignment="1">
      <alignment horizontal="center" vertical="center"/>
    </xf>
    <xf numFmtId="0" fontId="83" fillId="7" borderId="25" xfId="6" applyFont="1" applyFill="1" applyBorder="1" applyAlignment="1">
      <alignment horizontal="center" vertical="center"/>
    </xf>
    <xf numFmtId="0" fontId="83" fillId="7" borderId="26" xfId="6" applyFont="1" applyFill="1" applyBorder="1" applyAlignment="1">
      <alignment horizontal="center" vertical="center"/>
    </xf>
    <xf numFmtId="0" fontId="54" fillId="0" borderId="0" xfId="6" applyFont="1" applyBorder="1" applyAlignment="1">
      <alignment horizontal="right" vertical="center"/>
    </xf>
    <xf numFmtId="0" fontId="81" fillId="0" borderId="0" xfId="6" applyFont="1" applyAlignment="1">
      <alignment horizontal="right" vertical="center"/>
    </xf>
    <xf numFmtId="0" fontId="54" fillId="0" borderId="21" xfId="6" applyFont="1" applyBorder="1" applyAlignment="1">
      <alignment horizontal="left" vertical="center"/>
    </xf>
    <xf numFmtId="0" fontId="81" fillId="0" borderId="4" xfId="6" applyFont="1" applyBorder="1" applyAlignment="1">
      <alignment horizontal="right" vertical="center"/>
    </xf>
    <xf numFmtId="0" fontId="82" fillId="0" borderId="4" xfId="6" applyFont="1" applyFill="1" applyBorder="1" applyAlignment="1">
      <alignment horizontal="left" vertical="center"/>
    </xf>
    <xf numFmtId="0" fontId="11" fillId="0" borderId="7" xfId="0" applyFont="1" applyBorder="1" applyAlignment="1" applyProtection="1">
      <alignment horizontal="center" vertical="center"/>
    </xf>
    <xf numFmtId="0" fontId="5" fillId="0" borderId="7" xfId="0" applyFont="1" applyBorder="1" applyAlignment="1" applyProtection="1">
      <alignment horizontal="left" vertical="center" wrapText="1"/>
    </xf>
    <xf numFmtId="0" fontId="12" fillId="0" borderId="7" xfId="0" applyFont="1" applyBorder="1" applyAlignment="1" applyProtection="1">
      <alignment horizontal="center" vertical="center"/>
    </xf>
    <xf numFmtId="0" fontId="81" fillId="0" borderId="24" xfId="6" applyFont="1" applyBorder="1" applyAlignment="1">
      <alignment horizontal="right" vertical="center"/>
    </xf>
    <xf numFmtId="14" fontId="54" fillId="0" borderId="13" xfId="6" applyNumberFormat="1" applyFont="1" applyBorder="1" applyAlignment="1">
      <alignment horizontal="left" vertical="center"/>
    </xf>
    <xf numFmtId="49" fontId="46" fillId="0" borderId="7" xfId="0" applyNumberFormat="1" applyFont="1" applyBorder="1" applyAlignment="1">
      <alignment horizontal="center" vertical="center"/>
    </xf>
    <xf numFmtId="0" fontId="11" fillId="0" borderId="8" xfId="17" applyFont="1" applyBorder="1" applyAlignment="1">
      <alignment horizontal="center" vertical="center"/>
    </xf>
    <xf numFmtId="0" fontId="11" fillId="0" borderId="13" xfId="17" applyFont="1" applyBorder="1" applyAlignment="1">
      <alignment horizontal="center" vertical="center"/>
    </xf>
    <xf numFmtId="0" fontId="11" fillId="0" borderId="9" xfId="17" applyFont="1" applyBorder="1" applyAlignment="1">
      <alignment horizontal="center" vertical="center"/>
    </xf>
    <xf numFmtId="0" fontId="5" fillId="0" borderId="7" xfId="17" applyFont="1" applyBorder="1" applyAlignment="1">
      <alignment horizontal="center" vertical="center"/>
    </xf>
    <xf numFmtId="0" fontId="12" fillId="0" borderId="13" xfId="17" applyFont="1" applyBorder="1" applyAlignment="1">
      <alignment horizontal="center" vertical="center"/>
    </xf>
    <xf numFmtId="0" fontId="12" fillId="0" borderId="9" xfId="17" applyFont="1" applyBorder="1" applyAlignment="1">
      <alignment horizontal="center" vertical="center"/>
    </xf>
    <xf numFmtId="0" fontId="56" fillId="0" borderId="9" xfId="21" applyFont="1" applyFill="1" applyBorder="1" applyAlignment="1">
      <alignment horizontal="left" vertical="top" wrapText="1"/>
    </xf>
    <xf numFmtId="0" fontId="56" fillId="0" borderId="7" xfId="21" applyFont="1" applyFill="1" applyBorder="1" applyAlignment="1">
      <alignment horizontal="left" vertical="top" wrapText="1"/>
    </xf>
    <xf numFmtId="0" fontId="56" fillId="0" borderId="8" xfId="21" applyFont="1" applyFill="1" applyBorder="1" applyAlignment="1">
      <alignment horizontal="left" vertical="top" wrapText="1"/>
    </xf>
    <xf numFmtId="0" fontId="56" fillId="0" borderId="10" xfId="21" applyFont="1" applyFill="1" applyBorder="1" applyAlignment="1">
      <alignment horizontal="left" vertical="top" wrapText="1"/>
    </xf>
    <xf numFmtId="0" fontId="56" fillId="0" borderId="11" xfId="21" applyFont="1" applyFill="1" applyBorder="1" applyAlignment="1">
      <alignment horizontal="left" vertical="top" wrapText="1"/>
    </xf>
    <xf numFmtId="0" fontId="56" fillId="0" borderId="12" xfId="21" applyFont="1" applyFill="1" applyBorder="1" applyAlignment="1">
      <alignment horizontal="left" vertical="top" wrapText="1"/>
    </xf>
    <xf numFmtId="0" fontId="46" fillId="18" borderId="7" xfId="21" applyFont="1" applyFill="1" applyBorder="1" applyAlignment="1">
      <alignment horizontal="center" vertical="top"/>
    </xf>
    <xf numFmtId="0" fontId="83" fillId="0" borderId="7" xfId="21" applyFont="1" applyFill="1" applyBorder="1" applyAlignment="1">
      <alignment horizontal="left" vertical="center"/>
    </xf>
    <xf numFmtId="0" fontId="8" fillId="0" borderId="7" xfId="21" applyFont="1" applyFill="1" applyBorder="1" applyAlignment="1">
      <alignment horizontal="left" vertical="top" wrapText="1"/>
    </xf>
    <xf numFmtId="0" fontId="54" fillId="0" borderId="7" xfId="21" applyFont="1" applyFill="1" applyBorder="1" applyAlignment="1">
      <alignment horizontal="left" vertical="top" wrapText="1"/>
    </xf>
    <xf numFmtId="0" fontId="84" fillId="0" borderId="7" xfId="21" applyFont="1" applyFill="1" applyBorder="1" applyAlignment="1">
      <alignment horizontal="center" vertical="center"/>
    </xf>
    <xf numFmtId="0" fontId="46" fillId="18" borderId="7" xfId="21" applyFont="1" applyFill="1" applyBorder="1" applyAlignment="1">
      <alignment horizontal="center" vertical="center"/>
    </xf>
    <xf numFmtId="0" fontId="46" fillId="18" borderId="8" xfId="21" applyFont="1" applyFill="1" applyBorder="1" applyAlignment="1">
      <alignment horizontal="center" vertical="center"/>
    </xf>
    <xf numFmtId="0" fontId="46" fillId="18" borderId="9" xfId="21" applyFont="1" applyFill="1" applyBorder="1" applyAlignment="1">
      <alignment horizontal="center" vertical="center"/>
    </xf>
    <xf numFmtId="0" fontId="55" fillId="0" borderId="8" xfId="21" applyFont="1" applyFill="1" applyBorder="1" applyAlignment="1">
      <alignment horizontal="left" vertical="center"/>
    </xf>
    <xf numFmtId="0" fontId="55" fillId="0" borderId="13" xfId="21" applyFont="1" applyFill="1" applyBorder="1" applyAlignment="1">
      <alignment horizontal="left" vertical="center"/>
    </xf>
    <xf numFmtId="0" fontId="55" fillId="0" borderId="9" xfId="21" applyFont="1" applyFill="1" applyBorder="1" applyAlignment="1">
      <alignment horizontal="left" vertical="center"/>
    </xf>
    <xf numFmtId="0" fontId="55" fillId="0" borderId="8" xfId="21" applyFont="1" applyFill="1" applyBorder="1" applyAlignment="1">
      <alignment horizontal="center" vertical="center"/>
    </xf>
    <xf numFmtId="0" fontId="55" fillId="0" borderId="9" xfId="21" applyFont="1" applyFill="1" applyBorder="1" applyAlignment="1">
      <alignment horizontal="center" vertical="center"/>
    </xf>
    <xf numFmtId="0" fontId="54" fillId="0" borderId="17" xfId="21" applyFont="1" applyFill="1" applyBorder="1" applyAlignment="1">
      <alignment horizontal="left" vertical="top" wrapText="1"/>
    </xf>
    <xf numFmtId="0" fontId="54" fillId="0" borderId="21" xfId="21" applyFont="1" applyFill="1" applyBorder="1" applyAlignment="1">
      <alignment horizontal="left" vertical="top" wrapText="1"/>
    </xf>
    <xf numFmtId="0" fontId="54" fillId="0" borderId="16" xfId="21" applyFont="1" applyFill="1" applyBorder="1" applyAlignment="1">
      <alignment horizontal="left" vertical="top" wrapText="1"/>
    </xf>
    <xf numFmtId="0" fontId="54" fillId="0" borderId="8" xfId="21" applyFont="1" applyFill="1" applyBorder="1" applyAlignment="1">
      <alignment horizontal="left" vertical="top" wrapText="1"/>
    </xf>
    <xf numFmtId="0" fontId="54" fillId="0" borderId="9" xfId="21" applyFont="1" applyFill="1" applyBorder="1" applyAlignment="1">
      <alignment horizontal="left" vertical="top" wrapText="1"/>
    </xf>
    <xf numFmtId="0" fontId="2" fillId="5" borderId="7" xfId="2" applyFont="1" applyFill="1" applyBorder="1" applyAlignment="1">
      <alignment horizontal="center" vertical="top" wrapText="1" readingOrder="1"/>
    </xf>
    <xf numFmtId="0" fontId="62" fillId="4" borderId="10" xfId="2" applyFont="1" applyFill="1" applyBorder="1" applyAlignment="1">
      <alignment horizontal="center" vertical="center" wrapText="1"/>
    </xf>
    <xf numFmtId="0" fontId="62" fillId="4" borderId="11" xfId="2" applyFont="1" applyFill="1" applyBorder="1" applyAlignment="1">
      <alignment horizontal="center" vertical="center" wrapText="1"/>
    </xf>
    <xf numFmtId="0" fontId="62" fillId="4" borderId="12" xfId="2" applyFont="1" applyFill="1" applyBorder="1" applyAlignment="1">
      <alignment horizontal="center" vertical="center" wrapText="1"/>
    </xf>
    <xf numFmtId="0" fontId="63" fillId="4" borderId="10" xfId="2" applyFont="1" applyFill="1" applyBorder="1" applyAlignment="1">
      <alignment horizontal="center" vertical="center" wrapText="1"/>
    </xf>
    <xf numFmtId="0" fontId="63" fillId="4" borderId="11" xfId="2" applyFont="1" applyFill="1" applyBorder="1" applyAlignment="1">
      <alignment horizontal="center" vertical="center" wrapText="1"/>
    </xf>
    <xf numFmtId="0" fontId="63" fillId="4" borderId="12" xfId="2" applyFont="1" applyFill="1" applyBorder="1" applyAlignment="1">
      <alignment horizontal="center" vertical="center" wrapText="1"/>
    </xf>
    <xf numFmtId="0" fontId="58" fillId="13" borderId="10" xfId="2" applyFont="1" applyFill="1" applyBorder="1" applyAlignment="1">
      <alignment horizontal="center" vertical="center" wrapText="1"/>
    </xf>
    <xf numFmtId="0" fontId="58" fillId="13" borderId="12" xfId="2" applyFont="1" applyFill="1" applyBorder="1" applyAlignment="1">
      <alignment horizontal="center" vertical="center" wrapText="1"/>
    </xf>
    <xf numFmtId="0" fontId="2" fillId="8" borderId="10" xfId="2" applyFont="1" applyFill="1" applyBorder="1" applyAlignment="1">
      <alignment horizontal="left" vertical="top" wrapText="1" readingOrder="1"/>
    </xf>
    <xf numFmtId="0" fontId="2" fillId="8" borderId="11" xfId="2" applyFont="1" applyFill="1" applyBorder="1" applyAlignment="1">
      <alignment horizontal="left" vertical="top" wrapText="1" readingOrder="1"/>
    </xf>
    <xf numFmtId="0" fontId="2" fillId="4" borderId="7" xfId="2" applyFont="1" applyFill="1" applyBorder="1" applyAlignment="1">
      <alignment horizontal="left" vertical="center" wrapText="1" readingOrder="1"/>
    </xf>
    <xf numFmtId="0" fontId="2" fillId="4" borderId="10" xfId="2" applyFont="1" applyFill="1" applyBorder="1" applyAlignment="1">
      <alignment horizontal="center" vertical="center" wrapText="1" readingOrder="1"/>
    </xf>
    <xf numFmtId="0" fontId="2" fillId="4" borderId="11" xfId="2" applyFont="1" applyFill="1" applyBorder="1" applyAlignment="1">
      <alignment horizontal="center" vertical="center" wrapText="1" readingOrder="1"/>
    </xf>
    <xf numFmtId="0" fontId="2" fillId="4" borderId="12" xfId="2" applyFont="1" applyFill="1" applyBorder="1" applyAlignment="1">
      <alignment horizontal="center" vertical="center" wrapText="1" readingOrder="1"/>
    </xf>
    <xf numFmtId="0" fontId="2" fillId="7" borderId="10" xfId="2" applyFont="1" applyFill="1" applyBorder="1" applyAlignment="1">
      <alignment horizontal="left" vertical="center" wrapText="1" readingOrder="1"/>
    </xf>
    <xf numFmtId="0" fontId="2" fillId="7" borderId="11" xfId="2" applyFont="1" applyFill="1" applyBorder="1" applyAlignment="1">
      <alignment horizontal="left" vertical="center" wrapText="1" readingOrder="1"/>
    </xf>
    <xf numFmtId="0" fontId="2" fillId="7" borderId="12" xfId="2" applyFont="1" applyFill="1" applyBorder="1" applyAlignment="1">
      <alignment horizontal="left" vertical="center" wrapText="1" readingOrder="1"/>
    </xf>
    <xf numFmtId="0" fontId="2" fillId="4" borderId="10" xfId="2" applyFont="1" applyFill="1" applyBorder="1" applyAlignment="1">
      <alignment horizontal="left" vertical="center" wrapText="1" readingOrder="1"/>
    </xf>
    <xf numFmtId="0" fontId="2" fillId="4" borderId="12" xfId="2" applyFont="1" applyFill="1" applyBorder="1" applyAlignment="1">
      <alignment horizontal="left" vertical="center" wrapText="1" readingOrder="1"/>
    </xf>
    <xf numFmtId="0" fontId="58" fillId="0" borderId="7" xfId="2" applyFont="1" applyFill="1" applyBorder="1" applyAlignment="1">
      <alignment horizontal="center" vertical="center" wrapText="1"/>
    </xf>
    <xf numFmtId="49" fontId="58" fillId="14" borderId="8" xfId="2" applyNumberFormat="1" applyFont="1" applyFill="1" applyBorder="1" applyAlignment="1">
      <alignment horizontal="center" vertical="center" wrapText="1"/>
    </xf>
    <xf numFmtId="49" fontId="58" fillId="14" borderId="13" xfId="2" applyNumberFormat="1" applyFont="1" applyFill="1" applyBorder="1" applyAlignment="1">
      <alignment horizontal="center" vertical="center" wrapText="1"/>
    </xf>
    <xf numFmtId="49" fontId="58" fillId="20" borderId="9" xfId="2" applyNumberFormat="1" applyFont="1" applyFill="1" applyBorder="1" applyAlignment="1">
      <alignment horizontal="center" vertical="center" wrapText="1"/>
    </xf>
    <xf numFmtId="0" fontId="58" fillId="20" borderId="7" xfId="2" applyFont="1" applyFill="1" applyBorder="1" applyAlignment="1">
      <alignment horizontal="center" vertical="center" wrapText="1"/>
    </xf>
    <xf numFmtId="0" fontId="58" fillId="0" borderId="8" xfId="2" applyFont="1" applyFill="1" applyBorder="1" applyAlignment="1">
      <alignment horizontal="center" vertical="center" wrapText="1"/>
    </xf>
    <xf numFmtId="0" fontId="58" fillId="14" borderId="13" xfId="2" applyFont="1" applyFill="1" applyBorder="1" applyAlignment="1">
      <alignment horizontal="center" vertical="center" wrapText="1"/>
    </xf>
    <xf numFmtId="0" fontId="58" fillId="14" borderId="9" xfId="2" applyFont="1" applyFill="1" applyBorder="1" applyAlignment="1">
      <alignment horizontal="center" vertical="center" wrapText="1"/>
    </xf>
    <xf numFmtId="0" fontId="4" fillId="0" borderId="7" xfId="17" applyFont="1" applyBorder="1" applyAlignment="1">
      <alignment horizontal="center" vertical="center" wrapText="1"/>
    </xf>
    <xf numFmtId="0" fontId="89" fillId="0" borderId="7" xfId="2" applyFont="1" applyFill="1" applyBorder="1" applyAlignment="1">
      <alignment horizontal="center" vertical="center" wrapText="1" readingOrder="1"/>
    </xf>
    <xf numFmtId="0" fontId="89" fillId="20" borderId="7" xfId="2" applyFont="1" applyFill="1" applyBorder="1" applyAlignment="1">
      <alignment horizontal="center" vertical="center" wrapText="1" readingOrder="1"/>
    </xf>
    <xf numFmtId="0" fontId="88" fillId="0" borderId="7" xfId="2" applyFont="1" applyFill="1" applyBorder="1" applyAlignment="1">
      <alignment horizontal="center" vertical="center" wrapText="1"/>
    </xf>
    <xf numFmtId="0" fontId="88" fillId="13" borderId="8" xfId="2" applyFont="1" applyFill="1" applyBorder="1" applyAlignment="1">
      <alignment horizontal="center" vertical="center" wrapText="1"/>
    </xf>
    <xf numFmtId="0" fontId="88" fillId="13" borderId="13" xfId="2" applyFont="1" applyFill="1" applyBorder="1" applyAlignment="1">
      <alignment horizontal="center" vertical="center" wrapText="1"/>
    </xf>
    <xf numFmtId="0" fontId="58" fillId="0" borderId="13" xfId="2" applyFont="1" applyFill="1" applyBorder="1" applyAlignment="1">
      <alignment horizontal="center" vertical="center" wrapText="1"/>
    </xf>
    <xf numFmtId="0" fontId="58" fillId="0" borderId="9" xfId="2" applyFont="1" applyFill="1" applyBorder="1" applyAlignment="1">
      <alignment horizontal="center" vertical="center" wrapText="1"/>
    </xf>
    <xf numFmtId="0" fontId="58" fillId="20" borderId="8" xfId="2" applyFont="1" applyFill="1" applyBorder="1" applyAlignment="1">
      <alignment horizontal="center" vertical="center" wrapText="1"/>
    </xf>
    <xf numFmtId="49" fontId="58" fillId="0" borderId="7" xfId="2" applyNumberFormat="1" applyFont="1" applyFill="1" applyBorder="1" applyAlignment="1">
      <alignment horizontal="center" vertical="center" wrapText="1"/>
    </xf>
    <xf numFmtId="49" fontId="58" fillId="14" borderId="7" xfId="2" applyNumberFormat="1" applyFont="1" applyFill="1" applyBorder="1" applyAlignment="1">
      <alignment horizontal="center" vertical="center" wrapText="1"/>
    </xf>
    <xf numFmtId="0" fontId="58" fillId="13" borderId="8" xfId="2" applyFont="1" applyFill="1" applyBorder="1" applyAlignment="1">
      <alignment horizontal="center" vertical="center" wrapText="1"/>
    </xf>
    <xf numFmtId="0" fontId="58" fillId="13" borderId="9" xfId="2" applyFont="1" applyFill="1" applyBorder="1" applyAlignment="1">
      <alignment horizontal="center" vertical="center" wrapText="1"/>
    </xf>
    <xf numFmtId="0" fontId="58" fillId="13" borderId="13" xfId="2" applyFont="1" applyFill="1" applyBorder="1" applyAlignment="1">
      <alignment horizontal="center" vertical="center" wrapText="1"/>
    </xf>
    <xf numFmtId="49" fontId="58" fillId="20" borderId="7" xfId="2" applyNumberFormat="1" applyFont="1" applyFill="1" applyBorder="1" applyAlignment="1">
      <alignment horizontal="center" vertical="center" wrapText="1"/>
    </xf>
    <xf numFmtId="0" fontId="58" fillId="14" borderId="7" xfId="2" applyFont="1" applyFill="1" applyBorder="1" applyAlignment="1">
      <alignment horizontal="center" vertical="center" wrapText="1"/>
    </xf>
    <xf numFmtId="0" fontId="58" fillId="13" borderId="7" xfId="2" applyFont="1" applyFill="1" applyBorder="1" applyAlignment="1">
      <alignment horizontal="center" vertical="center" wrapText="1"/>
    </xf>
    <xf numFmtId="176" fontId="58" fillId="13" borderId="8" xfId="2" applyNumberFormat="1" applyFont="1" applyFill="1" applyBorder="1" applyAlignment="1">
      <alignment horizontal="center" vertical="center" wrapText="1"/>
    </xf>
    <xf numFmtId="176" fontId="58" fillId="13" borderId="13" xfId="2" applyNumberFormat="1" applyFont="1" applyFill="1" applyBorder="1" applyAlignment="1">
      <alignment horizontal="center" vertical="center" wrapText="1"/>
    </xf>
    <xf numFmtId="176" fontId="58" fillId="13" borderId="9" xfId="2" applyNumberFormat="1" applyFont="1" applyFill="1" applyBorder="1" applyAlignment="1">
      <alignment horizontal="center" vertical="center" wrapText="1"/>
    </xf>
    <xf numFmtId="0" fontId="85" fillId="0" borderId="0" xfId="2" applyFont="1" applyAlignment="1">
      <alignment horizontal="center" vertical="center" wrapText="1"/>
    </xf>
    <xf numFmtId="0" fontId="85" fillId="20" borderId="0" xfId="2" applyFont="1" applyFill="1" applyAlignment="1">
      <alignment horizontal="center" vertical="center" wrapText="1"/>
    </xf>
    <xf numFmtId="0" fontId="85" fillId="0" borderId="0" xfId="2" applyFont="1" applyFill="1" applyAlignment="1">
      <alignment horizontal="center" vertical="center" wrapText="1"/>
    </xf>
    <xf numFmtId="0" fontId="86" fillId="13" borderId="0" xfId="2" applyFont="1" applyFill="1" applyAlignment="1">
      <alignment horizontal="center" vertical="center" wrapText="1"/>
    </xf>
    <xf numFmtId="0" fontId="87" fillId="0" borderId="21" xfId="2" applyFont="1" applyBorder="1" applyAlignment="1">
      <alignment horizontal="center" vertical="center"/>
    </xf>
    <xf numFmtId="0" fontId="87" fillId="20" borderId="21" xfId="2" applyFont="1" applyFill="1" applyBorder="1" applyAlignment="1">
      <alignment horizontal="center" vertical="center"/>
    </xf>
    <xf numFmtId="0" fontId="3" fillId="0" borderId="10" xfId="0" applyNumberFormat="1" applyFont="1" applyFill="1" applyBorder="1" applyAlignment="1">
      <alignment horizontal="left" vertical="center"/>
    </xf>
    <xf numFmtId="0" fontId="36" fillId="0" borderId="18" xfId="21" applyFont="1" applyFill="1" applyBorder="1" applyAlignment="1">
      <alignment horizontal="left" vertical="top" wrapText="1"/>
    </xf>
    <xf numFmtId="0" fontId="56" fillId="0" borderId="15" xfId="21" applyFont="1" applyFill="1" applyBorder="1" applyAlignment="1">
      <alignment horizontal="left" vertical="top" wrapText="1"/>
    </xf>
    <xf numFmtId="0" fontId="56" fillId="0" borderId="19" xfId="21" applyFont="1" applyFill="1" applyBorder="1" applyAlignment="1">
      <alignment horizontal="left" vertical="top" wrapText="1"/>
    </xf>
    <xf numFmtId="0" fontId="56" fillId="0" borderId="14" xfId="21" applyFont="1" applyFill="1" applyBorder="1" applyAlignment="1">
      <alignment horizontal="left" vertical="top" wrapText="1"/>
    </xf>
    <xf numFmtId="0" fontId="56" fillId="0" borderId="17" xfId="21" applyFont="1" applyFill="1" applyBorder="1" applyAlignment="1">
      <alignment horizontal="left" vertical="top" wrapText="1"/>
    </xf>
    <xf numFmtId="0" fontId="56" fillId="0" borderId="16" xfId="21" applyFont="1" applyFill="1" applyBorder="1" applyAlignment="1">
      <alignment horizontal="left" vertical="top" wrapText="1"/>
    </xf>
    <xf numFmtId="0" fontId="42" fillId="0" borderId="19" xfId="21" applyFont="1" applyBorder="1" applyAlignment="1">
      <alignment horizontal="center" vertical="center"/>
    </xf>
    <xf numFmtId="0" fontId="60" fillId="0" borderId="10" xfId="21" applyFont="1" applyBorder="1" applyAlignment="1">
      <alignment horizontal="left" vertical="top" wrapText="1"/>
    </xf>
    <xf numFmtId="0" fontId="42" fillId="0" borderId="11" xfId="21" applyFont="1" applyBorder="1" applyAlignment="1">
      <alignment horizontal="left" vertical="top" wrapText="1"/>
    </xf>
    <xf numFmtId="0" fontId="42" fillId="0" borderId="12" xfId="21" applyFont="1" applyBorder="1" applyAlignment="1">
      <alignment horizontal="left" vertical="top" wrapText="1"/>
    </xf>
    <xf numFmtId="0" fontId="38" fillId="0" borderId="7" xfId="21" applyFont="1" applyFill="1" applyBorder="1" applyAlignment="1">
      <alignment horizontal="left" vertical="top" wrapText="1"/>
    </xf>
    <xf numFmtId="0" fontId="78" fillId="0" borderId="7" xfId="21" applyFont="1" applyFill="1" applyBorder="1" applyAlignment="1">
      <alignment horizontal="left" vertical="top" wrapText="1"/>
    </xf>
    <xf numFmtId="0" fontId="90" fillId="18" borderId="7" xfId="21" applyFont="1" applyFill="1" applyBorder="1" applyAlignment="1">
      <alignment horizontal="center" vertical="top"/>
    </xf>
    <xf numFmtId="0" fontId="27" fillId="0" borderId="8" xfId="21" applyFont="1" applyFill="1" applyBorder="1" applyAlignment="1">
      <alignment horizontal="left" vertical="top" wrapText="1"/>
    </xf>
    <xf numFmtId="0" fontId="27" fillId="0" borderId="9" xfId="21" applyFont="1" applyFill="1" applyBorder="1" applyAlignment="1">
      <alignment horizontal="left" vertical="top" wrapText="1"/>
    </xf>
    <xf numFmtId="0" fontId="42" fillId="0" borderId="17" xfId="21" applyFont="1" applyFill="1" applyBorder="1" applyAlignment="1">
      <alignment horizontal="left" vertical="top" wrapText="1"/>
    </xf>
    <xf numFmtId="0" fontId="42" fillId="0" borderId="21" xfId="21" applyFont="1" applyFill="1" applyBorder="1" applyAlignment="1">
      <alignment horizontal="left" vertical="top" wrapText="1"/>
    </xf>
    <xf numFmtId="0" fontId="42" fillId="0" borderId="16" xfId="21" applyFont="1" applyFill="1" applyBorder="1" applyAlignment="1">
      <alignment horizontal="left" vertical="top" wrapText="1"/>
    </xf>
    <xf numFmtId="0" fontId="60" fillId="0" borderId="8" xfId="21" applyFont="1" applyFill="1" applyBorder="1" applyAlignment="1">
      <alignment horizontal="left" vertical="top" wrapText="1"/>
    </xf>
    <xf numFmtId="0" fontId="42" fillId="0" borderId="9" xfId="21" applyFont="1" applyFill="1" applyBorder="1" applyAlignment="1">
      <alignment horizontal="left" vertical="top" wrapText="1"/>
    </xf>
    <xf numFmtId="0" fontId="91" fillId="0" borderId="7" xfId="21" applyFont="1" applyFill="1" applyBorder="1" applyAlignment="1">
      <alignment horizontal="left" vertical="center"/>
    </xf>
    <xf numFmtId="0" fontId="41" fillId="0" borderId="7" xfId="2" applyFont="1" applyFill="1" applyBorder="1" applyAlignment="1">
      <alignment horizontal="center" vertical="center" wrapText="1" readingOrder="1"/>
    </xf>
    <xf numFmtId="0" fontId="2" fillId="0" borderId="7" xfId="2" applyFont="1" applyFill="1" applyBorder="1" applyAlignment="1">
      <alignment horizontal="center" vertical="center" wrapText="1" readingOrder="1"/>
    </xf>
    <xf numFmtId="0" fontId="1" fillId="0" borderId="7" xfId="2" applyFont="1" applyFill="1" applyBorder="1" applyAlignment="1">
      <alignment horizontal="center" vertical="center" wrapText="1" readingOrder="1"/>
    </xf>
    <xf numFmtId="0" fontId="62" fillId="0" borderId="7" xfId="2" applyFont="1" applyFill="1" applyBorder="1" applyAlignment="1">
      <alignment horizontal="center" vertical="center" wrapText="1"/>
    </xf>
    <xf numFmtId="0" fontId="50" fillId="13" borderId="10" xfId="2" applyFont="1" applyFill="1" applyBorder="1" applyAlignment="1">
      <alignment horizontal="center" vertical="center" wrapText="1"/>
    </xf>
    <xf numFmtId="0" fontId="50" fillId="13" borderId="12" xfId="2" applyFont="1" applyFill="1" applyBorder="1" applyAlignment="1">
      <alignment horizontal="center" vertical="center" wrapText="1"/>
    </xf>
    <xf numFmtId="0" fontId="28" fillId="0" borderId="7" xfId="2" applyFont="1" applyFill="1" applyBorder="1" applyAlignment="1">
      <alignment horizontal="center" vertical="center" wrapText="1" readingOrder="1"/>
    </xf>
    <xf numFmtId="0" fontId="41" fillId="0" borderId="10" xfId="2" applyFont="1" applyFill="1" applyBorder="1" applyAlignment="1">
      <alignment horizontal="center" vertical="center" wrapText="1" readingOrder="1"/>
    </xf>
    <xf numFmtId="0" fontId="2" fillId="0" borderId="11" xfId="2" applyFont="1" applyFill="1" applyBorder="1" applyAlignment="1">
      <alignment horizontal="center" vertical="center" wrapText="1" readingOrder="1"/>
    </xf>
    <xf numFmtId="0" fontId="2" fillId="0" borderId="12" xfId="2" applyFont="1" applyFill="1" applyBorder="1" applyAlignment="1">
      <alignment horizontal="center" vertical="center" wrapText="1" readingOrder="1"/>
    </xf>
    <xf numFmtId="0" fontId="62" fillId="0" borderId="7" xfId="2" applyFont="1" applyFill="1" applyBorder="1" applyAlignment="1">
      <alignment horizontal="center" vertical="center" wrapText="1" readingOrder="1"/>
    </xf>
    <xf numFmtId="0" fontId="50" fillId="0" borderId="7" xfId="2" applyFont="1" applyFill="1" applyBorder="1" applyAlignment="1">
      <alignment horizontal="center" vertical="center" wrapText="1"/>
    </xf>
    <xf numFmtId="49" fontId="50" fillId="14" borderId="8" xfId="2" applyNumberFormat="1" applyFont="1" applyFill="1" applyBorder="1" applyAlignment="1">
      <alignment horizontal="center" vertical="center" wrapText="1"/>
    </xf>
    <xf numFmtId="49" fontId="50" fillId="14" borderId="13" xfId="2" applyNumberFormat="1" applyFont="1" applyFill="1" applyBorder="1" applyAlignment="1">
      <alignment horizontal="center" vertical="center" wrapText="1"/>
    </xf>
    <xf numFmtId="49" fontId="50" fillId="20" borderId="9" xfId="2" applyNumberFormat="1" applyFont="1" applyFill="1" applyBorder="1" applyAlignment="1">
      <alignment horizontal="center" vertical="center" wrapText="1"/>
    </xf>
    <xf numFmtId="0" fontId="50" fillId="20" borderId="7" xfId="2" applyFont="1" applyFill="1" applyBorder="1" applyAlignment="1">
      <alignment horizontal="center" vertical="center" wrapText="1"/>
    </xf>
    <xf numFmtId="0" fontId="50" fillId="0" borderId="8" xfId="2" applyFont="1" applyFill="1" applyBorder="1" applyAlignment="1">
      <alignment horizontal="center" vertical="center" wrapText="1"/>
    </xf>
    <xf numFmtId="0" fontId="50" fillId="14" borderId="13" xfId="2" applyFont="1" applyFill="1" applyBorder="1" applyAlignment="1">
      <alignment horizontal="center" vertical="center" wrapText="1"/>
    </xf>
    <xf numFmtId="0" fontId="50" fillId="14" borderId="9" xfId="2" applyFont="1" applyFill="1" applyBorder="1" applyAlignment="1">
      <alignment horizontal="center" vertical="center" wrapText="1"/>
    </xf>
    <xf numFmtId="0" fontId="53" fillId="0" borderId="7" xfId="17" applyFont="1" applyBorder="1" applyAlignment="1">
      <alignment horizontal="center" vertical="center" wrapText="1"/>
    </xf>
    <xf numFmtId="0" fontId="52" fillId="0" borderId="7" xfId="2" applyFont="1" applyFill="1" applyBorder="1" applyAlignment="1">
      <alignment horizontal="center" vertical="center" wrapText="1" readingOrder="1"/>
    </xf>
    <xf numFmtId="0" fontId="52" fillId="20" borderId="7" xfId="2" applyFont="1" applyFill="1" applyBorder="1" applyAlignment="1">
      <alignment horizontal="center" vertical="center" wrapText="1" readingOrder="1"/>
    </xf>
    <xf numFmtId="0" fontId="50" fillId="13" borderId="8" xfId="2" applyFont="1" applyFill="1" applyBorder="1" applyAlignment="1">
      <alignment horizontal="center" vertical="center" wrapText="1"/>
    </xf>
    <xf numFmtId="0" fontId="50" fillId="13" borderId="13" xfId="2" applyFont="1" applyFill="1" applyBorder="1" applyAlignment="1">
      <alignment horizontal="center" vertical="center" wrapText="1"/>
    </xf>
    <xf numFmtId="0" fontId="50" fillId="0" borderId="13" xfId="2" applyFont="1" applyFill="1" applyBorder="1" applyAlignment="1">
      <alignment horizontal="center" vertical="center" wrapText="1"/>
    </xf>
    <xf numFmtId="0" fontId="50" fillId="0" borderId="9" xfId="2" applyFont="1" applyFill="1" applyBorder="1" applyAlignment="1">
      <alignment horizontal="center" vertical="center" wrapText="1"/>
    </xf>
    <xf numFmtId="0" fontId="50" fillId="20" borderId="8" xfId="2" applyFont="1" applyFill="1" applyBorder="1" applyAlignment="1">
      <alignment horizontal="center" vertical="center" wrapText="1"/>
    </xf>
    <xf numFmtId="49" fontId="50" fillId="0" borderId="7" xfId="2" applyNumberFormat="1" applyFont="1" applyFill="1" applyBorder="1" applyAlignment="1">
      <alignment horizontal="center" vertical="center" wrapText="1"/>
    </xf>
    <xf numFmtId="49" fontId="50" fillId="14" borderId="7" xfId="2" applyNumberFormat="1" applyFont="1" applyFill="1" applyBorder="1" applyAlignment="1">
      <alignment horizontal="center" vertical="center" wrapText="1"/>
    </xf>
    <xf numFmtId="0" fontId="50" fillId="13" borderId="9" xfId="2" applyFont="1" applyFill="1" applyBorder="1" applyAlignment="1">
      <alignment horizontal="center" vertical="center" wrapText="1"/>
    </xf>
    <xf numFmtId="176" fontId="50" fillId="13" borderId="8" xfId="2" applyNumberFormat="1" applyFont="1" applyFill="1" applyBorder="1" applyAlignment="1">
      <alignment horizontal="center" vertical="center" wrapText="1"/>
    </xf>
    <xf numFmtId="176" fontId="50" fillId="13" borderId="13" xfId="2" applyNumberFormat="1" applyFont="1" applyFill="1" applyBorder="1" applyAlignment="1">
      <alignment horizontal="center" vertical="center" wrapText="1"/>
    </xf>
    <xf numFmtId="176" fontId="50" fillId="13" borderId="9" xfId="2" applyNumberFormat="1" applyFont="1" applyFill="1" applyBorder="1" applyAlignment="1">
      <alignment horizontal="center" vertical="center" wrapText="1"/>
    </xf>
    <xf numFmtId="0" fontId="50" fillId="13" borderId="7" xfId="2" applyFont="1" applyFill="1" applyBorder="1" applyAlignment="1">
      <alignment horizontal="center" vertical="center" wrapText="1"/>
    </xf>
    <xf numFmtId="49" fontId="50" fillId="20" borderId="7" xfId="2" applyNumberFormat="1" applyFont="1" applyFill="1" applyBorder="1" applyAlignment="1">
      <alignment horizontal="center" vertical="center" wrapText="1"/>
    </xf>
    <xf numFmtId="0" fontId="50" fillId="14" borderId="7" xfId="2" applyFont="1" applyFill="1" applyBorder="1" applyAlignment="1">
      <alignment horizontal="center" vertical="center" wrapText="1"/>
    </xf>
    <xf numFmtId="0" fontId="50" fillId="0" borderId="0" xfId="2" applyFont="1" applyAlignment="1">
      <alignment horizontal="center" vertical="center" wrapText="1"/>
    </xf>
    <xf numFmtId="0" fontId="50" fillId="20" borderId="0" xfId="2" applyFont="1" applyFill="1" applyAlignment="1">
      <alignment horizontal="center" vertical="center" wrapText="1"/>
    </xf>
    <xf numFmtId="0" fontId="50" fillId="0" borderId="0" xfId="2" applyFont="1" applyFill="1" applyAlignment="1">
      <alignment horizontal="center" vertical="center" wrapText="1"/>
    </xf>
    <xf numFmtId="0" fontId="50" fillId="13" borderId="0" xfId="2" applyFont="1" applyFill="1" applyAlignment="1">
      <alignment horizontal="center" vertical="center" wrapText="1"/>
    </xf>
    <xf numFmtId="0" fontId="50" fillId="0" borderId="21" xfId="2" applyFont="1" applyBorder="1" applyAlignment="1">
      <alignment horizontal="center" vertical="center"/>
    </xf>
    <xf numFmtId="0" fontId="50" fillId="20" borderId="21" xfId="2" applyFont="1" applyFill="1" applyBorder="1" applyAlignment="1">
      <alignment horizontal="center" vertical="center"/>
    </xf>
    <xf numFmtId="0" fontId="49" fillId="0" borderId="35" xfId="5" applyFont="1" applyBorder="1" applyAlignment="1">
      <alignment horizontal="justify" vertical="center" wrapText="1"/>
    </xf>
    <xf numFmtId="0" fontId="49" fillId="0" borderId="36" xfId="5" applyFont="1" applyBorder="1" applyAlignment="1">
      <alignment horizontal="justify" vertical="center" wrapText="1"/>
    </xf>
    <xf numFmtId="0" fontId="49" fillId="0" borderId="37" xfId="5" applyFont="1" applyBorder="1" applyAlignment="1">
      <alignment horizontal="justify" vertical="center" wrapText="1"/>
    </xf>
    <xf numFmtId="0" fontId="49" fillId="0" borderId="38" xfId="5" applyFont="1" applyBorder="1" applyAlignment="1">
      <alignment horizontal="justify" vertical="center" wrapText="1"/>
    </xf>
    <xf numFmtId="0" fontId="49" fillId="0" borderId="1" xfId="5" applyFont="1" applyBorder="1" applyAlignment="1">
      <alignment horizontal="justify" vertical="center" wrapText="1"/>
    </xf>
    <xf numFmtId="0" fontId="49" fillId="0" borderId="3" xfId="5" applyFont="1" applyBorder="1" applyAlignment="1">
      <alignment horizontal="justify" vertical="center" wrapText="1"/>
    </xf>
    <xf numFmtId="0" fontId="48" fillId="12" borderId="6" xfId="0" applyFont="1" applyFill="1" applyBorder="1" applyAlignment="1">
      <alignment horizontal="left" vertical="center" wrapText="1"/>
    </xf>
    <xf numFmtId="0" fontId="48" fillId="12" borderId="6" xfId="0" applyFont="1" applyFill="1" applyBorder="1" applyAlignment="1">
      <alignment horizontal="left" vertical="center"/>
    </xf>
    <xf numFmtId="0" fontId="48" fillId="0" borderId="38"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38" xfId="0" applyFont="1" applyBorder="1" applyAlignment="1">
      <alignment horizontal="justify" vertical="center" wrapText="1"/>
    </xf>
    <xf numFmtId="0" fontId="48" fillId="0" borderId="1" xfId="0" applyFont="1" applyBorder="1" applyAlignment="1">
      <alignment horizontal="justify" vertical="center" wrapText="1"/>
    </xf>
    <xf numFmtId="0" fontId="48" fillId="0" borderId="3" xfId="0" applyFont="1" applyBorder="1" applyAlignment="1">
      <alignment horizontal="justify" vertical="center" wrapText="1"/>
    </xf>
    <xf numFmtId="0" fontId="48" fillId="0" borderId="35" xfId="0" applyFont="1" applyBorder="1" applyAlignment="1">
      <alignment horizontal="justify" vertical="center"/>
    </xf>
    <xf numFmtId="0" fontId="48" fillId="0" borderId="36" xfId="0" applyFont="1" applyBorder="1" applyAlignment="1">
      <alignment horizontal="justify" vertical="center"/>
    </xf>
    <xf numFmtId="0" fontId="48" fillId="0" borderId="37" xfId="0" applyFont="1" applyBorder="1" applyAlignment="1">
      <alignment horizontal="justify" vertical="center"/>
    </xf>
    <xf numFmtId="0" fontId="48" fillId="0" borderId="35" xfId="0" applyFont="1" applyBorder="1" applyAlignment="1">
      <alignment horizontal="left" vertical="center" wrapText="1"/>
    </xf>
    <xf numFmtId="0" fontId="48" fillId="0" borderId="36" xfId="0" applyFont="1" applyBorder="1" applyAlignment="1">
      <alignment horizontal="left" vertical="center" wrapText="1"/>
    </xf>
    <xf numFmtId="0" fontId="48" fillId="0" borderId="37" xfId="0" applyFont="1" applyBorder="1" applyAlignment="1">
      <alignment horizontal="left" vertical="center" wrapText="1"/>
    </xf>
    <xf numFmtId="0" fontId="48" fillId="12" borderId="39" xfId="0" applyFont="1" applyFill="1" applyBorder="1" applyAlignment="1">
      <alignment horizontal="left" vertical="center" wrapText="1"/>
    </xf>
    <xf numFmtId="0" fontId="48" fillId="12" borderId="40" xfId="0" applyFont="1" applyFill="1" applyBorder="1" applyAlignment="1">
      <alignment horizontal="left" vertical="center"/>
    </xf>
    <xf numFmtId="0" fontId="48" fillId="12" borderId="41" xfId="0" applyFont="1" applyFill="1" applyBorder="1" applyAlignment="1">
      <alignment horizontal="left" vertical="center"/>
    </xf>
    <xf numFmtId="0" fontId="48" fillId="12" borderId="33" xfId="0" applyFont="1" applyFill="1" applyBorder="1" applyAlignment="1">
      <alignment horizontal="left" vertical="center"/>
    </xf>
    <xf numFmtId="0" fontId="48" fillId="12" borderId="0" xfId="0" applyFont="1" applyFill="1" applyBorder="1" applyAlignment="1">
      <alignment horizontal="left" vertical="center"/>
    </xf>
    <xf numFmtId="0" fontId="48" fillId="12" borderId="5" xfId="0" applyFont="1" applyFill="1" applyBorder="1" applyAlignment="1">
      <alignment horizontal="left" vertical="center"/>
    </xf>
    <xf numFmtId="0" fontId="48" fillId="12" borderId="42" xfId="0" applyFont="1" applyFill="1" applyBorder="1" applyAlignment="1">
      <alignment horizontal="left" vertical="center"/>
    </xf>
    <xf numFmtId="0" fontId="48" fillId="12" borderId="4" xfId="0" applyFont="1" applyFill="1" applyBorder="1" applyAlignment="1">
      <alignment horizontal="left" vertical="center"/>
    </xf>
    <xf numFmtId="0" fontId="48" fillId="12" borderId="2" xfId="0" applyFont="1" applyFill="1" applyBorder="1" applyAlignment="1">
      <alignment horizontal="left" vertical="center"/>
    </xf>
    <xf numFmtId="0" fontId="48" fillId="0" borderId="35" xfId="0" applyFont="1" applyBorder="1" applyAlignment="1">
      <alignment horizontal="justify" vertical="center" wrapText="1"/>
    </xf>
    <xf numFmtId="0" fontId="48" fillId="0" borderId="36" xfId="0" applyFont="1" applyBorder="1" applyAlignment="1">
      <alignment horizontal="justify" vertical="center" wrapText="1"/>
    </xf>
    <xf numFmtId="0" fontId="48" fillId="0" borderId="43" xfId="0" applyFont="1" applyBorder="1" applyAlignment="1">
      <alignment horizontal="justify" vertical="center" wrapText="1"/>
    </xf>
    <xf numFmtId="0" fontId="48" fillId="0" borderId="37" xfId="0" applyFont="1" applyBorder="1" applyAlignment="1">
      <alignment horizontal="justify" vertical="center" wrapText="1"/>
    </xf>
    <xf numFmtId="0" fontId="48" fillId="0" borderId="3" xfId="0" applyFont="1" applyBorder="1" applyAlignment="1">
      <alignment horizontal="center" vertical="center" wrapText="1"/>
    </xf>
  </cellXfs>
  <cellStyles count="28">
    <cellStyle name="Arial" xfId="1" xr:uid="{D7718A1A-6582-4BF2-B019-B3B18AE2DE83}"/>
    <cellStyle name="Normal" xfId="2" xr:uid="{929B682D-5D59-4434-ADA1-155642F2E78B}"/>
    <cellStyle name="差_Sheet1" xfId="3" xr:uid="{E367FB12-FFC0-44FA-8EC5-44212770DEFC}"/>
    <cellStyle name="差_Sheet1_1" xfId="4" xr:uid="{5BF7752E-56DC-4B5E-9B99-7A56269AFE4B}"/>
    <cellStyle name="常规" xfId="0" builtinId="0"/>
    <cellStyle name="常规 10" xfId="5" xr:uid="{B54A1FCB-8280-499F-B52C-2EB4BD24C676}"/>
    <cellStyle name="常规 2" xfId="6" xr:uid="{E8E78140-C6AA-4E0A-879C-1806248DA268}"/>
    <cellStyle name="常规 2 2" xfId="7" xr:uid="{E5E01FCB-A6AD-4251-861A-C7AE0E219218}"/>
    <cellStyle name="常规 2 2 2" xfId="8" xr:uid="{C3C22F6C-D5E5-4655-8AF6-D2F9D0BF009B}"/>
    <cellStyle name="常规 2 2 2 2" xfId="9" xr:uid="{26EBE184-E03F-4F27-9BFC-21A7F3075A87}"/>
    <cellStyle name="常规 2 2 3" xfId="10" xr:uid="{56AC7D00-8938-49DE-B4E8-AE207912546B}"/>
    <cellStyle name="常规 2 3" xfId="11" xr:uid="{CE3E7FCF-4BFF-456C-8AD0-E473A204B14E}"/>
    <cellStyle name="常规 2 3 2" xfId="12" xr:uid="{A6219D60-8A65-4FCB-82C7-7E91A0E740BD}"/>
    <cellStyle name="常规 2 4" xfId="13" xr:uid="{8B812B3B-A025-4279-B5C4-72BB83B37A70}"/>
    <cellStyle name="常规 2 5" xfId="14" xr:uid="{F55CC51F-1355-45DE-A293-5EC2AA3DB5B8}"/>
    <cellStyle name="常规 2 6" xfId="15" xr:uid="{D2F47B04-6296-46B3-8041-12838E8C2D57}"/>
    <cellStyle name="常规 2_Sheet1" xfId="16" xr:uid="{CEFCD1C5-22C9-4C46-9264-BC30C772AE02}"/>
    <cellStyle name="常规 3" xfId="17" xr:uid="{6D773F14-9C8C-4079-9B69-180E71B8562C}"/>
    <cellStyle name="常规 4" xfId="18" xr:uid="{46A764BA-AFD7-4624-8AF5-6685ADCF4997}"/>
    <cellStyle name="常规 4 2" xfId="19" xr:uid="{ED625C9E-B7DE-49F1-8D15-F14D0D81AD35}"/>
    <cellStyle name="常规 5" xfId="20" xr:uid="{EEDD4D9A-B04A-456F-8124-AAC71D8C72D7}"/>
    <cellStyle name="常规 6" xfId="21" xr:uid="{5D6ED610-850F-4484-8808-41DA0AA18E0D}"/>
    <cellStyle name="常规 7" xfId="22" xr:uid="{C9CC452B-2A54-47E4-B4E9-A71B1B766219}"/>
    <cellStyle name="常规 8" xfId="23" xr:uid="{62D381FE-B13E-4F7A-B234-2F0B9B54B1BD}"/>
    <cellStyle name="常规 9" xfId="24" xr:uid="{684AE8DC-AAE1-45F8-AD46-74C985FA8ABA}"/>
    <cellStyle name="超链接 2" xfId="25" xr:uid="{30D44382-7469-4415-A90A-814B55BFEBC8}"/>
    <cellStyle name="好_Sheet1" xfId="26" xr:uid="{3DDB19A6-4A6F-45E5-889A-E4024939298A}"/>
    <cellStyle name="好_Sheet1_1" xfId="27" xr:uid="{01CEA981-7C4A-49F4-ACC8-74B4043AC5B2}"/>
  </cellStyles>
  <dxfs count="0"/>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3995" name="Line 3">
          <a:extLst>
            <a:ext uri="{FF2B5EF4-FFF2-40B4-BE49-F238E27FC236}">
              <a16:creationId xmlns:a16="http://schemas.microsoft.com/office/drawing/2014/main" id="{8D635AF5-7219-C40E-C5F8-A37D24255EB1}"/>
            </a:ext>
          </a:extLst>
        </xdr:cNvPr>
        <xdr:cNvSpPr>
          <a:spLocks noChangeShapeType="1"/>
        </xdr:cNvSpPr>
      </xdr:nvSpPr>
      <xdr:spPr bwMode="auto">
        <a:xfrm rot="10800000" flipH="1" flipV="1">
          <a:off x="0" y="0"/>
          <a:ext cx="0" cy="0"/>
        </a:xfrm>
        <a:prstGeom prst="line">
          <a:avLst/>
        </a:prstGeom>
        <a:noFill/>
        <a:ln w="1905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3996" name="Line 5">
          <a:extLst>
            <a:ext uri="{FF2B5EF4-FFF2-40B4-BE49-F238E27FC236}">
              <a16:creationId xmlns:a16="http://schemas.microsoft.com/office/drawing/2014/main" id="{E0C9C79F-50C9-CDFE-6583-7C1B1C0049E4}"/>
            </a:ext>
          </a:extLst>
        </xdr:cNvPr>
        <xdr:cNvSpPr>
          <a:spLocks noChangeShapeType="1"/>
        </xdr:cNvSpPr>
      </xdr:nvSpPr>
      <xdr:spPr bwMode="auto">
        <a:xfrm rot="10800000" flipH="1" flipV="1">
          <a:off x="0" y="0"/>
          <a:ext cx="0" cy="0"/>
        </a:xfrm>
        <a:prstGeom prst="line">
          <a:avLst/>
        </a:prstGeom>
        <a:noFill/>
        <a:ln w="1905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1552575</xdr:colOff>
      <xdr:row>6</xdr:row>
      <xdr:rowOff>471488</xdr:rowOff>
    </xdr:from>
    <xdr:to>
      <xdr:col>4</xdr:col>
      <xdr:colOff>2481263</xdr:colOff>
      <xdr:row>6</xdr:row>
      <xdr:rowOff>2395538</xdr:rowOff>
    </xdr:to>
    <xdr:pic>
      <xdr:nvPicPr>
        <xdr:cNvPr id="7847" name="图片 1">
          <a:extLst>
            <a:ext uri="{FF2B5EF4-FFF2-40B4-BE49-F238E27FC236}">
              <a16:creationId xmlns:a16="http://schemas.microsoft.com/office/drawing/2014/main" id="{2BDF16E4-03D0-D208-08F1-F5783ECB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6775" y="5710238"/>
          <a:ext cx="3186113"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3300413</xdr:colOff>
      <xdr:row>6</xdr:row>
      <xdr:rowOff>285750</xdr:rowOff>
    </xdr:from>
    <xdr:to>
      <xdr:col>6</xdr:col>
      <xdr:colOff>690563</xdr:colOff>
      <xdr:row>7</xdr:row>
      <xdr:rowOff>0</xdr:rowOff>
    </xdr:to>
    <xdr:pic>
      <xdr:nvPicPr>
        <xdr:cNvPr id="7848" name="图片 2">
          <a:extLst>
            <a:ext uri="{FF2B5EF4-FFF2-40B4-BE49-F238E27FC236}">
              <a16:creationId xmlns:a16="http://schemas.microsoft.com/office/drawing/2014/main" id="{E58A63A4-E2B7-5659-C143-6077CBB15EA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82038" y="5524500"/>
          <a:ext cx="4672012"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542925</xdr:colOff>
      <xdr:row>16</xdr:row>
      <xdr:rowOff>109538</xdr:rowOff>
    </xdr:to>
    <xdr:pic>
      <xdr:nvPicPr>
        <xdr:cNvPr id="12858" name="图片 1">
          <a:extLst>
            <a:ext uri="{FF2B5EF4-FFF2-40B4-BE49-F238E27FC236}">
              <a16:creationId xmlns:a16="http://schemas.microsoft.com/office/drawing/2014/main" id="{638D4F30-E625-A704-9E87-67528BF3B8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420100" cy="5462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1681163</xdr:colOff>
      <xdr:row>6</xdr:row>
      <xdr:rowOff>47625</xdr:rowOff>
    </xdr:from>
    <xdr:to>
      <xdr:col>5</xdr:col>
      <xdr:colOff>1704975</xdr:colOff>
      <xdr:row>6</xdr:row>
      <xdr:rowOff>2486025</xdr:rowOff>
    </xdr:to>
    <xdr:pic>
      <xdr:nvPicPr>
        <xdr:cNvPr id="4966" name="图片 3">
          <a:extLst>
            <a:ext uri="{FF2B5EF4-FFF2-40B4-BE49-F238E27FC236}">
              <a16:creationId xmlns:a16="http://schemas.microsoft.com/office/drawing/2014/main" id="{D1935BBA-1BF1-3215-49F5-2B0D4451BB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62788" y="4152900"/>
          <a:ext cx="3914775"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B0557-074B-4B86-8783-6515FD5E06BA}">
  <sheetPr>
    <pageSetUpPr fitToPage="1"/>
  </sheetPr>
  <dimension ref="A1:BJ77"/>
  <sheetViews>
    <sheetView view="pageLayout" topLeftCell="F25" zoomScale="85" zoomScaleNormal="100" zoomScaleSheetLayoutView="100" zoomScalePageLayoutView="85" workbookViewId="0">
      <selection activeCell="AC13" sqref="AC13:AC73"/>
    </sheetView>
  </sheetViews>
  <sheetFormatPr defaultColWidth="8.73046875" defaultRowHeight="15.75"/>
  <cols>
    <col min="1" max="1" width="6.59765625" style="211" customWidth="1"/>
    <col min="2" max="2" width="7.265625" style="211" customWidth="1"/>
    <col min="3" max="5" width="6.59765625" style="211" customWidth="1"/>
    <col min="6" max="6" width="7.3984375" style="211" customWidth="1"/>
    <col min="7" max="7" width="5" style="211" customWidth="1"/>
    <col min="8" max="8" width="6.59765625" style="211" customWidth="1"/>
    <col min="9" max="9" width="8.59765625" style="211" customWidth="1"/>
    <col min="10" max="17" width="6.59765625" style="211" customWidth="1"/>
    <col min="18" max="18" width="5.3984375" style="211" customWidth="1"/>
    <col min="19" max="20" width="6.59765625" style="211" customWidth="1"/>
    <col min="21" max="21" width="10.265625" style="211" customWidth="1"/>
    <col min="22" max="22" width="6.59765625" style="211" customWidth="1"/>
    <col min="23" max="23" width="9.59765625" style="211" customWidth="1"/>
    <col min="24" max="24" width="6.59765625" style="211" customWidth="1"/>
    <col min="25" max="25" width="11.59765625" style="211" customWidth="1"/>
    <col min="26" max="26" width="4.73046875" style="211" customWidth="1"/>
    <col min="27" max="27" width="6.59765625" style="211" customWidth="1"/>
    <col min="28" max="28" width="9.59765625" style="211" customWidth="1"/>
    <col min="29" max="29" width="5.265625" style="211" customWidth="1"/>
    <col min="30" max="30" width="4.59765625" style="211" customWidth="1"/>
    <col min="31" max="39" width="6.59765625" style="211" customWidth="1"/>
    <col min="40" max="40" width="11" style="211" customWidth="1"/>
    <col min="41" max="41" width="6.265625" style="211" customWidth="1"/>
    <col min="42" max="44" width="4.59765625" style="211" customWidth="1"/>
    <col min="45" max="45" width="4.73046875" style="211" customWidth="1"/>
    <col min="46" max="66" width="6.59765625" style="211" customWidth="1"/>
    <col min="67" max="16384" width="8.73046875" style="211"/>
  </cols>
  <sheetData>
    <row r="1" spans="1:62" s="209" customFormat="1" ht="24.75" customHeight="1">
      <c r="A1" s="361" t="s">
        <v>0</v>
      </c>
      <c r="B1" s="361"/>
      <c r="C1" s="361"/>
      <c r="D1" s="361"/>
      <c r="E1" s="361"/>
      <c r="F1" s="361"/>
      <c r="G1" s="361"/>
      <c r="H1" s="361"/>
      <c r="I1" s="361"/>
      <c r="J1" s="361"/>
      <c r="K1" s="361"/>
      <c r="L1" s="361"/>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361"/>
      <c r="AL1" s="361"/>
      <c r="AM1" s="361"/>
      <c r="AN1" s="361"/>
      <c r="AO1" s="361"/>
      <c r="AP1" s="361"/>
      <c r="AQ1" s="361"/>
      <c r="AR1" s="361"/>
      <c r="AS1" s="361"/>
      <c r="AT1" s="361"/>
    </row>
    <row r="2" spans="1:62" s="210" customFormat="1" ht="30" customHeight="1">
      <c r="A2" s="362" t="s">
        <v>1</v>
      </c>
      <c r="B2" s="362"/>
      <c r="C2" s="362"/>
      <c r="D2" s="362"/>
      <c r="E2" s="362"/>
      <c r="F2" s="363" t="s">
        <v>2</v>
      </c>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row>
    <row r="3" spans="1:62" ht="24" customHeight="1">
      <c r="A3" s="356" t="s">
        <v>3</v>
      </c>
      <c r="B3" s="356"/>
      <c r="C3" s="356"/>
      <c r="D3" s="212" t="s">
        <v>4</v>
      </c>
      <c r="E3" s="212"/>
      <c r="F3" s="212"/>
      <c r="G3" s="213"/>
      <c r="H3" s="213"/>
      <c r="I3" s="213"/>
      <c r="J3" s="216"/>
      <c r="K3" s="217"/>
      <c r="L3" s="364" t="s">
        <v>5</v>
      </c>
      <c r="M3" s="364"/>
      <c r="N3" s="364"/>
      <c r="O3" s="213" t="s">
        <v>6</v>
      </c>
      <c r="P3" s="213"/>
      <c r="Q3" s="213"/>
      <c r="R3" s="213"/>
      <c r="S3" s="213"/>
      <c r="T3" s="213"/>
      <c r="W3" s="218" t="s">
        <v>7</v>
      </c>
      <c r="X3" s="219" t="s">
        <v>8</v>
      </c>
      <c r="Y3" s="213"/>
      <c r="Z3" s="213"/>
      <c r="AA3" s="213"/>
      <c r="AB3" s="213"/>
      <c r="AC3" s="213"/>
      <c r="AD3" s="213"/>
      <c r="AE3" s="229" t="s">
        <v>9</v>
      </c>
      <c r="AF3" s="230" t="s">
        <v>10</v>
      </c>
      <c r="AG3" s="230" t="s">
        <v>11</v>
      </c>
      <c r="AH3" s="216"/>
      <c r="AI3" s="216"/>
      <c r="AK3" s="218" t="s">
        <v>12</v>
      </c>
      <c r="AL3" s="249" t="str">
        <f>O6&amp;AE3&amp;AF3&amp;AG3</f>
        <v>K11-1004040-02SF9-DFMEA01</v>
      </c>
      <c r="AM3" s="213"/>
      <c r="AN3" s="213"/>
      <c r="AO3" s="213"/>
      <c r="AP3" s="213"/>
      <c r="AQ3" s="213"/>
      <c r="AR3" s="255"/>
      <c r="AS3" s="255"/>
      <c r="AT3" s="256"/>
      <c r="AU3" s="217"/>
      <c r="AV3" s="217"/>
      <c r="AW3" s="217"/>
      <c r="AX3" s="217"/>
      <c r="AY3" s="217"/>
      <c r="AZ3" s="217"/>
      <c r="BA3" s="217"/>
      <c r="BB3" s="217"/>
      <c r="BC3" s="217"/>
      <c r="BD3" s="217"/>
      <c r="BE3" s="217"/>
      <c r="BF3" s="217"/>
      <c r="BG3" s="217"/>
      <c r="BH3" s="217"/>
      <c r="BI3" s="217"/>
      <c r="BJ3" s="217"/>
    </row>
    <row r="4" spans="1:62" ht="24" customHeight="1">
      <c r="A4" s="356" t="s">
        <v>13</v>
      </c>
      <c r="B4" s="356"/>
      <c r="C4" s="356"/>
      <c r="D4" s="213" t="s">
        <v>14</v>
      </c>
      <c r="E4" s="212"/>
      <c r="F4" s="212"/>
      <c r="G4" s="213"/>
      <c r="H4" s="213"/>
      <c r="I4" s="213"/>
      <c r="J4" s="216"/>
      <c r="K4" s="217"/>
      <c r="L4" s="357" t="s">
        <v>15</v>
      </c>
      <c r="M4" s="357"/>
      <c r="N4" s="357"/>
      <c r="O4" s="213" t="s">
        <v>16</v>
      </c>
      <c r="P4" s="213"/>
      <c r="Q4" s="213"/>
      <c r="R4" s="213"/>
      <c r="S4" s="213"/>
      <c r="T4" s="213"/>
      <c r="W4" s="218" t="s">
        <v>17</v>
      </c>
      <c r="X4" s="365">
        <v>45420</v>
      </c>
      <c r="Y4" s="365"/>
      <c r="Z4" s="365"/>
      <c r="AA4" s="365"/>
      <c r="AB4" s="365"/>
      <c r="AC4" s="365"/>
      <c r="AD4" s="365"/>
      <c r="AE4" s="216"/>
      <c r="AF4" s="216"/>
      <c r="AG4" s="216"/>
      <c r="AH4" s="216"/>
      <c r="AI4" s="216"/>
      <c r="AK4" s="218" t="s">
        <v>18</v>
      </c>
      <c r="AL4" s="213" t="s">
        <v>19</v>
      </c>
      <c r="AM4" s="213"/>
      <c r="AN4" s="213"/>
      <c r="AO4" s="213"/>
      <c r="AP4" s="213"/>
      <c r="AQ4" s="213"/>
      <c r="AR4" s="255"/>
      <c r="AS4" s="255"/>
      <c r="AT4" s="256"/>
      <c r="AU4" s="217"/>
      <c r="AV4" s="217"/>
      <c r="AW4" s="217"/>
      <c r="AX4" s="217"/>
      <c r="AY4" s="217"/>
      <c r="AZ4" s="217"/>
      <c r="BA4" s="217"/>
      <c r="BB4" s="217"/>
      <c r="BC4" s="217"/>
      <c r="BD4" s="217"/>
      <c r="BE4" s="217"/>
      <c r="BF4" s="217"/>
      <c r="BG4" s="217"/>
      <c r="BH4" s="217"/>
      <c r="BI4" s="217"/>
      <c r="BJ4" s="217"/>
    </row>
    <row r="5" spans="1:62" ht="24" customHeight="1">
      <c r="A5" s="356" t="s">
        <v>20</v>
      </c>
      <c r="B5" s="356"/>
      <c r="C5" s="356"/>
      <c r="D5" s="214" t="s">
        <v>21</v>
      </c>
      <c r="E5" s="212"/>
      <c r="F5" s="212"/>
      <c r="G5" s="213"/>
      <c r="H5" s="213"/>
      <c r="I5" s="213"/>
      <c r="J5" s="216"/>
      <c r="K5" s="217"/>
      <c r="L5" s="357" t="s">
        <v>22</v>
      </c>
      <c r="M5" s="357"/>
      <c r="N5" s="357"/>
      <c r="O5" s="213" t="s">
        <v>23</v>
      </c>
      <c r="P5" s="213"/>
      <c r="Q5" s="213"/>
      <c r="R5" s="213"/>
      <c r="S5" s="213"/>
      <c r="T5" s="213"/>
      <c r="W5" s="218" t="s">
        <v>24</v>
      </c>
      <c r="X5" s="213" t="s">
        <v>25</v>
      </c>
      <c r="Y5" s="213"/>
      <c r="Z5" s="213"/>
      <c r="AA5" s="213"/>
      <c r="AB5" s="213"/>
      <c r="AC5" s="213"/>
      <c r="AD5" s="213"/>
      <c r="AE5" s="216"/>
      <c r="AF5" s="216"/>
      <c r="AG5" s="216"/>
      <c r="AH5" s="216"/>
      <c r="AI5" s="216"/>
      <c r="AK5" s="218" t="s">
        <v>26</v>
      </c>
      <c r="AL5" s="213" t="s">
        <v>27</v>
      </c>
      <c r="AM5" s="213"/>
      <c r="AN5" s="213"/>
      <c r="AO5" s="213"/>
      <c r="AP5" s="213"/>
      <c r="AQ5" s="213"/>
      <c r="AR5" s="255"/>
      <c r="AS5" s="255"/>
      <c r="AT5" s="256"/>
      <c r="AU5" s="217"/>
      <c r="AV5" s="217"/>
      <c r="AW5" s="217"/>
      <c r="AX5" s="217"/>
      <c r="AY5" s="217"/>
      <c r="AZ5" s="217"/>
      <c r="BA5" s="217"/>
      <c r="BB5" s="217"/>
      <c r="BC5" s="217"/>
      <c r="BD5" s="217"/>
      <c r="BE5" s="217"/>
      <c r="BF5" s="217"/>
      <c r="BG5" s="217"/>
      <c r="BH5" s="217"/>
      <c r="BI5" s="217"/>
      <c r="BJ5" s="217"/>
    </row>
    <row r="6" spans="1:62" ht="24" customHeight="1">
      <c r="A6" s="356" t="s">
        <v>28</v>
      </c>
      <c r="B6" s="356"/>
      <c r="C6" s="356"/>
      <c r="D6" s="2" t="s">
        <v>29</v>
      </c>
      <c r="E6" s="213"/>
      <c r="F6" s="213"/>
      <c r="G6" s="213"/>
      <c r="H6" s="213"/>
      <c r="I6" s="213"/>
      <c r="J6" s="216"/>
      <c r="K6" s="217"/>
      <c r="L6" s="357" t="s">
        <v>30</v>
      </c>
      <c r="M6" s="357"/>
      <c r="N6" s="357"/>
      <c r="O6" s="213" t="s">
        <v>31</v>
      </c>
      <c r="P6" s="213"/>
      <c r="Q6" s="213"/>
      <c r="R6" s="213"/>
      <c r="S6" s="213"/>
      <c r="T6" s="213"/>
      <c r="U6" s="216"/>
      <c r="W6" s="218" t="s">
        <v>32</v>
      </c>
      <c r="X6" s="358" t="s">
        <v>33</v>
      </c>
      <c r="Y6" s="358"/>
      <c r="Z6" s="358"/>
      <c r="AA6" s="358"/>
      <c r="AB6" s="358"/>
      <c r="AC6" s="358"/>
      <c r="AD6" s="358"/>
      <c r="AE6" s="358"/>
      <c r="AF6" s="358"/>
      <c r="AG6" s="358"/>
      <c r="AH6" s="358"/>
      <c r="AI6" s="358"/>
      <c r="AJ6" s="358"/>
      <c r="AK6" s="358"/>
      <c r="AL6" s="358"/>
      <c r="AM6" s="358"/>
      <c r="AN6" s="358"/>
      <c r="AO6" s="358"/>
      <c r="AP6" s="358"/>
      <c r="AQ6" s="358"/>
      <c r="AR6" s="358"/>
      <c r="AS6" s="358"/>
      <c r="AT6" s="358"/>
      <c r="AU6" s="217"/>
      <c r="AV6" s="217"/>
      <c r="AW6" s="217"/>
      <c r="AX6" s="217"/>
      <c r="AY6" s="217"/>
      <c r="AZ6" s="217"/>
      <c r="BA6" s="217"/>
      <c r="BB6" s="217"/>
      <c r="BC6" s="217"/>
      <c r="BD6" s="217"/>
      <c r="BE6" s="217"/>
      <c r="BF6" s="217"/>
      <c r="BG6" s="217"/>
      <c r="BH6" s="217"/>
      <c r="BI6" s="217"/>
      <c r="BJ6" s="217"/>
    </row>
    <row r="7" spans="1:62" ht="39.75" customHeight="1">
      <c r="A7" s="359" t="s">
        <v>34</v>
      </c>
      <c r="B7" s="359"/>
      <c r="C7" s="359"/>
      <c r="D7" s="360" t="s">
        <v>35</v>
      </c>
      <c r="E7" s="360"/>
      <c r="F7" s="360"/>
      <c r="G7" s="360"/>
      <c r="H7" s="360"/>
      <c r="I7" s="360"/>
      <c r="J7" s="360"/>
      <c r="K7" s="360"/>
      <c r="L7" s="360"/>
      <c r="M7" s="360"/>
      <c r="N7" s="360"/>
      <c r="O7" s="360"/>
      <c r="P7" s="360"/>
      <c r="Q7" s="360"/>
      <c r="R7" s="360"/>
      <c r="S7" s="360"/>
      <c r="T7" s="360"/>
      <c r="U7" s="360"/>
      <c r="V7" s="360"/>
      <c r="W7" s="360"/>
      <c r="X7" s="360"/>
      <c r="Y7" s="360"/>
      <c r="Z7" s="360"/>
      <c r="AA7" s="360"/>
      <c r="AB7" s="360"/>
      <c r="AC7" s="360"/>
      <c r="AD7" s="360"/>
      <c r="AE7" s="360"/>
      <c r="AF7" s="360"/>
      <c r="AG7" s="360"/>
      <c r="AH7" s="360"/>
      <c r="AI7" s="360"/>
      <c r="AJ7" s="360"/>
      <c r="AK7" s="360"/>
      <c r="AL7" s="360"/>
      <c r="AM7" s="360"/>
      <c r="AN7" s="360"/>
      <c r="AO7" s="360"/>
      <c r="AP7" s="360"/>
      <c r="AQ7" s="360"/>
      <c r="AR7" s="360"/>
    </row>
    <row r="8" spans="1:62" ht="27" customHeight="1">
      <c r="A8" s="344" t="s">
        <v>36</v>
      </c>
      <c r="B8" s="345"/>
      <c r="C8" s="345"/>
      <c r="D8" s="345"/>
      <c r="E8" s="345"/>
      <c r="F8" s="345"/>
      <c r="G8" s="346" t="s">
        <v>37</v>
      </c>
      <c r="H8" s="347"/>
      <c r="I8" s="347"/>
      <c r="J8" s="347"/>
      <c r="K8" s="347"/>
      <c r="L8" s="347"/>
      <c r="M8" s="347"/>
      <c r="N8" s="347"/>
      <c r="O8" s="348"/>
      <c r="P8" s="349" t="s">
        <v>38</v>
      </c>
      <c r="Q8" s="350"/>
      <c r="R8" s="350"/>
      <c r="S8" s="350"/>
      <c r="T8" s="350"/>
      <c r="U8" s="350"/>
      <c r="V8" s="350"/>
      <c r="W8" s="351"/>
      <c r="X8" s="352" t="s">
        <v>39</v>
      </c>
      <c r="Y8" s="353"/>
      <c r="Z8" s="353"/>
      <c r="AA8" s="353"/>
      <c r="AB8" s="353"/>
      <c r="AC8" s="353"/>
      <c r="AD8" s="353"/>
      <c r="AE8" s="353"/>
      <c r="AF8" s="354" t="s">
        <v>40</v>
      </c>
      <c r="AG8" s="355"/>
      <c r="AH8" s="355"/>
      <c r="AI8" s="355"/>
      <c r="AJ8" s="355"/>
      <c r="AK8" s="355"/>
      <c r="AL8" s="355"/>
      <c r="AM8" s="355"/>
      <c r="AN8" s="355"/>
      <c r="AO8" s="355"/>
      <c r="AP8" s="355"/>
      <c r="AQ8" s="355"/>
      <c r="AR8" s="355"/>
      <c r="AS8" s="355"/>
      <c r="AT8" s="257"/>
    </row>
    <row r="9" spans="1:62" ht="14.45" customHeight="1">
      <c r="A9" s="302" t="s">
        <v>41</v>
      </c>
      <c r="B9" s="303"/>
      <c r="C9" s="303" t="s">
        <v>42</v>
      </c>
      <c r="D9" s="303"/>
      <c r="E9" s="303" t="s">
        <v>43</v>
      </c>
      <c r="F9" s="303"/>
      <c r="G9" s="308" t="s">
        <v>44</v>
      </c>
      <c r="H9" s="309"/>
      <c r="I9" s="309"/>
      <c r="J9" s="309" t="s">
        <v>45</v>
      </c>
      <c r="K9" s="309"/>
      <c r="L9" s="309"/>
      <c r="M9" s="309" t="s">
        <v>46</v>
      </c>
      <c r="N9" s="309"/>
      <c r="O9" s="312"/>
      <c r="P9" s="314" t="s">
        <v>47</v>
      </c>
      <c r="Q9" s="315"/>
      <c r="R9" s="315"/>
      <c r="S9" s="328" t="s">
        <v>48</v>
      </c>
      <c r="T9" s="315" t="s">
        <v>49</v>
      </c>
      <c r="U9" s="315"/>
      <c r="V9" s="315" t="s">
        <v>50</v>
      </c>
      <c r="W9" s="320"/>
      <c r="X9" s="322" t="s">
        <v>51</v>
      </c>
      <c r="Y9" s="305"/>
      <c r="Z9" s="330" t="s">
        <v>52</v>
      </c>
      <c r="AA9" s="304" t="s">
        <v>53</v>
      </c>
      <c r="AB9" s="305"/>
      <c r="AC9" s="330" t="s">
        <v>54</v>
      </c>
      <c r="AD9" s="332" t="s">
        <v>55</v>
      </c>
      <c r="AE9" s="334" t="s">
        <v>56</v>
      </c>
      <c r="AF9" s="324" t="s">
        <v>57</v>
      </c>
      <c r="AG9" s="325"/>
      <c r="AH9" s="325" t="s">
        <v>58</v>
      </c>
      <c r="AI9" s="325"/>
      <c r="AJ9" s="325" t="s">
        <v>59</v>
      </c>
      <c r="AK9" s="325" t="s">
        <v>60</v>
      </c>
      <c r="AL9" s="325" t="s">
        <v>61</v>
      </c>
      <c r="AM9" s="325"/>
      <c r="AN9" s="325" t="s">
        <v>62</v>
      </c>
      <c r="AO9" s="325" t="s">
        <v>63</v>
      </c>
      <c r="AP9" s="318" t="s">
        <v>64</v>
      </c>
      <c r="AQ9" s="318" t="s">
        <v>65</v>
      </c>
      <c r="AR9" s="318" t="s">
        <v>66</v>
      </c>
      <c r="AS9" s="318" t="s">
        <v>55</v>
      </c>
      <c r="AT9" s="319" t="s">
        <v>56</v>
      </c>
    </row>
    <row r="10" spans="1:62">
      <c r="A10" s="302"/>
      <c r="B10" s="303"/>
      <c r="C10" s="303"/>
      <c r="D10" s="303"/>
      <c r="E10" s="303"/>
      <c r="F10" s="303"/>
      <c r="G10" s="308"/>
      <c r="H10" s="309"/>
      <c r="I10" s="309"/>
      <c r="J10" s="309"/>
      <c r="K10" s="309"/>
      <c r="L10" s="309"/>
      <c r="M10" s="309"/>
      <c r="N10" s="309"/>
      <c r="O10" s="312"/>
      <c r="P10" s="314"/>
      <c r="Q10" s="315"/>
      <c r="R10" s="315"/>
      <c r="S10" s="328"/>
      <c r="T10" s="315"/>
      <c r="U10" s="315"/>
      <c r="V10" s="315"/>
      <c r="W10" s="320"/>
      <c r="X10" s="323"/>
      <c r="Y10" s="307"/>
      <c r="Z10" s="330"/>
      <c r="AA10" s="306"/>
      <c r="AB10" s="307"/>
      <c r="AC10" s="330"/>
      <c r="AD10" s="332"/>
      <c r="AE10" s="335"/>
      <c r="AF10" s="324"/>
      <c r="AG10" s="325"/>
      <c r="AH10" s="325"/>
      <c r="AI10" s="325"/>
      <c r="AJ10" s="325"/>
      <c r="AK10" s="325"/>
      <c r="AL10" s="325"/>
      <c r="AM10" s="325"/>
      <c r="AN10" s="325"/>
      <c r="AO10" s="325"/>
      <c r="AP10" s="318"/>
      <c r="AQ10" s="318"/>
      <c r="AR10" s="318"/>
      <c r="AS10" s="318"/>
      <c r="AT10" s="319"/>
    </row>
    <row r="11" spans="1:62">
      <c r="A11" s="302"/>
      <c r="B11" s="303"/>
      <c r="C11" s="303"/>
      <c r="D11" s="303"/>
      <c r="E11" s="303"/>
      <c r="F11" s="303"/>
      <c r="G11" s="308"/>
      <c r="H11" s="309"/>
      <c r="I11" s="309"/>
      <c r="J11" s="309"/>
      <c r="K11" s="309"/>
      <c r="L11" s="309"/>
      <c r="M11" s="309"/>
      <c r="N11" s="309"/>
      <c r="O11" s="312"/>
      <c r="P11" s="314"/>
      <c r="Q11" s="315"/>
      <c r="R11" s="315"/>
      <c r="S11" s="328"/>
      <c r="T11" s="315"/>
      <c r="U11" s="315"/>
      <c r="V11" s="315"/>
      <c r="W11" s="320"/>
      <c r="X11" s="323"/>
      <c r="Y11" s="307"/>
      <c r="Z11" s="330"/>
      <c r="AA11" s="306"/>
      <c r="AB11" s="307"/>
      <c r="AC11" s="330"/>
      <c r="AD11" s="332"/>
      <c r="AE11" s="335"/>
      <c r="AF11" s="324"/>
      <c r="AG11" s="325"/>
      <c r="AH11" s="325"/>
      <c r="AI11" s="325"/>
      <c r="AJ11" s="325"/>
      <c r="AK11" s="325"/>
      <c r="AL11" s="325"/>
      <c r="AM11" s="325"/>
      <c r="AN11" s="325"/>
      <c r="AO11" s="325"/>
      <c r="AP11" s="318"/>
      <c r="AQ11" s="318"/>
      <c r="AR11" s="318"/>
      <c r="AS11" s="318"/>
      <c r="AT11" s="319"/>
    </row>
    <row r="12" spans="1:62" ht="37.5" customHeight="1">
      <c r="A12" s="302"/>
      <c r="B12" s="303"/>
      <c r="C12" s="303"/>
      <c r="D12" s="303"/>
      <c r="E12" s="303"/>
      <c r="F12" s="303"/>
      <c r="G12" s="310"/>
      <c r="H12" s="311"/>
      <c r="I12" s="311"/>
      <c r="J12" s="311"/>
      <c r="K12" s="311"/>
      <c r="L12" s="311"/>
      <c r="M12" s="311"/>
      <c r="N12" s="311"/>
      <c r="O12" s="313"/>
      <c r="P12" s="316"/>
      <c r="Q12" s="317"/>
      <c r="R12" s="317"/>
      <c r="S12" s="329"/>
      <c r="T12" s="317"/>
      <c r="U12" s="317"/>
      <c r="V12" s="317"/>
      <c r="W12" s="321"/>
      <c r="X12" s="323"/>
      <c r="Y12" s="307"/>
      <c r="Z12" s="331"/>
      <c r="AA12" s="306"/>
      <c r="AB12" s="307"/>
      <c r="AC12" s="331"/>
      <c r="AD12" s="333"/>
      <c r="AE12" s="335"/>
      <c r="AF12" s="324"/>
      <c r="AG12" s="325"/>
      <c r="AH12" s="325"/>
      <c r="AI12" s="325"/>
      <c r="AJ12" s="325"/>
      <c r="AK12" s="325"/>
      <c r="AL12" s="325"/>
      <c r="AM12" s="325"/>
      <c r="AN12" s="325"/>
      <c r="AO12" s="325"/>
      <c r="AP12" s="318"/>
      <c r="AQ12" s="318"/>
      <c r="AR12" s="318"/>
      <c r="AS12" s="318"/>
      <c r="AT12" s="319"/>
    </row>
    <row r="13" spans="1:62" ht="92.25" customHeight="1">
      <c r="A13" s="336" t="s">
        <v>67</v>
      </c>
      <c r="B13" s="337"/>
      <c r="C13" s="341" t="s">
        <v>23</v>
      </c>
      <c r="D13" s="342"/>
      <c r="E13" s="337" t="s">
        <v>68</v>
      </c>
      <c r="F13" s="337"/>
      <c r="G13" s="336" t="s">
        <v>69</v>
      </c>
      <c r="H13" s="337"/>
      <c r="I13" s="337"/>
      <c r="J13" s="337" t="s">
        <v>70</v>
      </c>
      <c r="K13" s="337"/>
      <c r="L13" s="337"/>
      <c r="M13" s="341" t="s">
        <v>71</v>
      </c>
      <c r="N13" s="342"/>
      <c r="O13" s="343"/>
      <c r="P13" s="336" t="s">
        <v>72</v>
      </c>
      <c r="Q13" s="337"/>
      <c r="R13" s="337"/>
      <c r="S13" s="220">
        <v>7</v>
      </c>
      <c r="T13" s="337" t="s">
        <v>73</v>
      </c>
      <c r="U13" s="337"/>
      <c r="V13" s="337" t="s">
        <v>74</v>
      </c>
      <c r="W13" s="338"/>
      <c r="X13" s="99" t="s">
        <v>75</v>
      </c>
      <c r="Y13" s="99" t="s">
        <v>75</v>
      </c>
      <c r="Z13" s="231" t="s">
        <v>76</v>
      </c>
      <c r="AA13" s="99" t="s">
        <v>77</v>
      </c>
      <c r="AB13" s="99" t="s">
        <v>77</v>
      </c>
      <c r="AC13" s="231">
        <v>2</v>
      </c>
      <c r="AD13" s="215" t="s">
        <v>78</v>
      </c>
      <c r="AE13" s="232"/>
      <c r="AF13" s="326"/>
      <c r="AG13" s="327"/>
      <c r="AH13" s="251">
        <v>1</v>
      </c>
      <c r="AI13" s="251">
        <v>1</v>
      </c>
      <c r="AJ13" s="250"/>
      <c r="AK13" s="250"/>
      <c r="AL13" s="327"/>
      <c r="AM13" s="327"/>
      <c r="AN13" s="252"/>
      <c r="AO13" s="252"/>
      <c r="AP13" s="252"/>
      <c r="AQ13" s="252"/>
      <c r="AR13" s="252"/>
      <c r="AS13" s="252"/>
      <c r="AT13" s="258"/>
    </row>
    <row r="14" spans="1:62" ht="92.25" customHeight="1">
      <c r="A14" s="336" t="s">
        <v>67</v>
      </c>
      <c r="B14" s="337"/>
      <c r="C14" s="341" t="s">
        <v>23</v>
      </c>
      <c r="D14" s="342"/>
      <c r="E14" s="337" t="s">
        <v>79</v>
      </c>
      <c r="F14" s="337"/>
      <c r="G14" s="336" t="s">
        <v>69</v>
      </c>
      <c r="H14" s="337"/>
      <c r="I14" s="337"/>
      <c r="J14" s="337" t="s">
        <v>70</v>
      </c>
      <c r="K14" s="337"/>
      <c r="L14" s="337"/>
      <c r="M14" s="337" t="s">
        <v>80</v>
      </c>
      <c r="N14" s="337"/>
      <c r="O14" s="338"/>
      <c r="P14" s="336" t="s">
        <v>72</v>
      </c>
      <c r="Q14" s="337"/>
      <c r="R14" s="337"/>
      <c r="S14" s="221">
        <v>7</v>
      </c>
      <c r="T14" s="337" t="s">
        <v>81</v>
      </c>
      <c r="U14" s="337"/>
      <c r="V14" s="337" t="s">
        <v>82</v>
      </c>
      <c r="W14" s="338"/>
      <c r="X14" s="102" t="s">
        <v>83</v>
      </c>
      <c r="Y14" s="102" t="s">
        <v>83</v>
      </c>
      <c r="Z14" s="233">
        <v>2</v>
      </c>
      <c r="AA14" s="102" t="s">
        <v>84</v>
      </c>
      <c r="AB14" s="102" t="s">
        <v>84</v>
      </c>
      <c r="AC14" s="233">
        <v>4</v>
      </c>
      <c r="AD14" s="215" t="str">
        <f>IF(S14=1,"L",IF(AND(1&lt;S14,S14&lt;=3),INDEX(AP!$B$41:$L$51,MATCH(算分!Z14,AP!$B$41:$B$51,1),MATCH(算分!AC14,AP!$B$41:$L$41,1)),IF(AND(3&lt;S14,S14&lt;=6),INDEX(AP!$B$28:$L$38,MATCH(算分!Z14,AP!$B$28:$B$38,1),MATCH(算分!AC14,AP!$B$28:$L$28,1)),IF(AND(6&lt;S14,S14&lt;=8),INDEX(AP!$B$15:$L$25,MATCH(算分!Z14,AP!$B$15:$B$25,1),MATCH(算分!AC14,AP!$B$15:$L$15,1)),IF(AND(8&lt;S14,S14&lt;=10),INDEX(AP!$B$2:$L$12,MATCH(算分!Z14,AP!$B$2:$B$12,1),MATCH(算分!AC14,AP!$B$2:$L$2,1)),"")))))</f>
        <v>L</v>
      </c>
      <c r="AE14" s="232"/>
      <c r="AF14" s="326" t="s">
        <v>85</v>
      </c>
      <c r="AG14" s="327"/>
      <c r="AH14" s="253">
        <v>2</v>
      </c>
      <c r="AI14" s="253">
        <v>2</v>
      </c>
      <c r="AJ14" s="250"/>
      <c r="AK14" s="250"/>
      <c r="AL14" s="327"/>
      <c r="AM14" s="327"/>
      <c r="AN14" s="252"/>
      <c r="AO14" s="252"/>
      <c r="AP14" s="252"/>
      <c r="AQ14" s="252"/>
      <c r="AR14" s="252"/>
      <c r="AS14" s="252"/>
      <c r="AT14" s="258"/>
    </row>
    <row r="15" spans="1:62" ht="92.25" customHeight="1">
      <c r="A15" s="336" t="s">
        <v>67</v>
      </c>
      <c r="B15" s="337"/>
      <c r="C15" s="341" t="s">
        <v>23</v>
      </c>
      <c r="D15" s="342"/>
      <c r="E15" s="337" t="s">
        <v>79</v>
      </c>
      <c r="F15" s="337"/>
      <c r="G15" s="336" t="s">
        <v>69</v>
      </c>
      <c r="H15" s="337"/>
      <c r="I15" s="337"/>
      <c r="J15" s="337" t="s">
        <v>70</v>
      </c>
      <c r="K15" s="337"/>
      <c r="L15" s="337"/>
      <c r="M15" s="337" t="s">
        <v>80</v>
      </c>
      <c r="N15" s="337"/>
      <c r="O15" s="338"/>
      <c r="P15" s="336" t="s">
        <v>86</v>
      </c>
      <c r="Q15" s="337"/>
      <c r="R15" s="337"/>
      <c r="S15" s="221">
        <v>7</v>
      </c>
      <c r="T15" s="337" t="s">
        <v>87</v>
      </c>
      <c r="U15" s="337"/>
      <c r="V15" s="337" t="s">
        <v>88</v>
      </c>
      <c r="W15" s="338"/>
      <c r="X15" s="102" t="s">
        <v>89</v>
      </c>
      <c r="Y15" s="102" t="s">
        <v>89</v>
      </c>
      <c r="Z15" s="233">
        <v>2</v>
      </c>
      <c r="AA15" s="102" t="s">
        <v>90</v>
      </c>
      <c r="AB15" s="102" t="s">
        <v>90</v>
      </c>
      <c r="AC15" s="233">
        <v>4</v>
      </c>
      <c r="AD15" s="215" t="str">
        <f>IF(S15=1,"L",IF(AND(1&lt;S15,S15&lt;=3),INDEX(AP!$B$41:$L$51,MATCH(算分!Z15,AP!$B$41:$B$51,1),MATCH(算分!AC15,AP!$B$41:$L$41,1)),IF(AND(3&lt;S15,S15&lt;=6),INDEX(AP!$B$28:$L$38,MATCH(算分!Z15,AP!$B$28:$B$38,1),MATCH(算分!AC15,AP!$B$28:$L$28,1)),IF(AND(6&lt;S15,S15&lt;=8),INDEX(AP!$B$15:$L$25,MATCH(算分!Z15,AP!$B$15:$B$25,1),MATCH(算分!AC15,AP!$B$15:$L$15,1)),IF(AND(8&lt;S15,S15&lt;=10),INDEX(AP!$B$2:$L$12,MATCH(算分!Z15,AP!$B$2:$B$12,1),MATCH(算分!AC15,AP!$B$2:$L$2,1)),"")))))</f>
        <v>L</v>
      </c>
      <c r="AE15" s="232"/>
      <c r="AF15" s="326"/>
      <c r="AG15" s="327"/>
      <c r="AH15" s="251">
        <v>3</v>
      </c>
      <c r="AI15" s="251">
        <v>3</v>
      </c>
      <c r="AJ15" s="250"/>
      <c r="AK15" s="250"/>
      <c r="AL15" s="327"/>
      <c r="AM15" s="327"/>
      <c r="AN15" s="252"/>
      <c r="AO15" s="252"/>
      <c r="AP15" s="252"/>
      <c r="AQ15" s="252"/>
      <c r="AR15" s="252"/>
      <c r="AS15" s="252"/>
      <c r="AT15" s="258"/>
    </row>
    <row r="16" spans="1:62" ht="92.25" customHeight="1">
      <c r="A16" s="336" t="s">
        <v>67</v>
      </c>
      <c r="B16" s="337"/>
      <c r="C16" s="341" t="s">
        <v>23</v>
      </c>
      <c r="D16" s="342"/>
      <c r="E16" s="337" t="s">
        <v>79</v>
      </c>
      <c r="F16" s="337"/>
      <c r="G16" s="336" t="s">
        <v>69</v>
      </c>
      <c r="H16" s="337"/>
      <c r="I16" s="337"/>
      <c r="J16" s="337" t="s">
        <v>70</v>
      </c>
      <c r="K16" s="337"/>
      <c r="L16" s="337"/>
      <c r="M16" s="337" t="s">
        <v>80</v>
      </c>
      <c r="N16" s="337"/>
      <c r="O16" s="338"/>
      <c r="P16" s="336" t="s">
        <v>86</v>
      </c>
      <c r="Q16" s="337"/>
      <c r="R16" s="337"/>
      <c r="S16" s="221">
        <v>7</v>
      </c>
      <c r="T16" s="337" t="s">
        <v>87</v>
      </c>
      <c r="U16" s="337"/>
      <c r="V16" s="337" t="s">
        <v>91</v>
      </c>
      <c r="W16" s="338"/>
      <c r="X16" s="102" t="s">
        <v>92</v>
      </c>
      <c r="Y16" s="102" t="s">
        <v>92</v>
      </c>
      <c r="Z16" s="233">
        <v>2</v>
      </c>
      <c r="AA16" s="102" t="s">
        <v>93</v>
      </c>
      <c r="AB16" s="102" t="s">
        <v>93</v>
      </c>
      <c r="AC16" s="233">
        <v>4</v>
      </c>
      <c r="AD16" s="215" t="str">
        <f>IF(S16=1,"L",IF(AND(1&lt;S16,S16&lt;=3),INDEX(AP!$B$41:$L$51,MATCH(算分!Z16,AP!$B$41:$B$51,1),MATCH(算分!AC16,AP!$B$41:$L$41,1)),IF(AND(3&lt;S16,S16&lt;=6),INDEX(AP!$B$28:$L$38,MATCH(算分!Z16,AP!$B$28:$B$38,1),MATCH(算分!AC16,AP!$B$28:$L$28,1)),IF(AND(6&lt;S16,S16&lt;=8),INDEX(AP!$B$15:$L$25,MATCH(算分!Z16,AP!$B$15:$B$25,1),MATCH(算分!AC16,AP!$B$15:$L$15,1)),IF(AND(8&lt;S16,S16&lt;=10),INDEX(AP!$B$2:$L$12,MATCH(算分!Z16,AP!$B$2:$B$12,1),MATCH(算分!AC16,AP!$B$2:$L$2,1)),"")))))</f>
        <v>L</v>
      </c>
      <c r="AE16" s="232"/>
      <c r="AF16" s="326" t="s">
        <v>85</v>
      </c>
      <c r="AG16" s="327"/>
      <c r="AH16" s="253">
        <v>4</v>
      </c>
      <c r="AI16" s="253">
        <v>4</v>
      </c>
      <c r="AJ16" s="250"/>
      <c r="AK16" s="250"/>
      <c r="AL16" s="327"/>
      <c r="AM16" s="327"/>
      <c r="AN16" s="252"/>
      <c r="AO16" s="252"/>
      <c r="AP16" s="252"/>
      <c r="AQ16" s="252"/>
      <c r="AR16" s="252"/>
      <c r="AS16" s="252"/>
      <c r="AT16" s="258"/>
    </row>
    <row r="17" spans="1:46" ht="92.25" customHeight="1">
      <c r="A17" s="336" t="s">
        <v>67</v>
      </c>
      <c r="B17" s="337"/>
      <c r="C17" s="341" t="s">
        <v>23</v>
      </c>
      <c r="D17" s="342"/>
      <c r="E17" s="337" t="s">
        <v>79</v>
      </c>
      <c r="F17" s="337"/>
      <c r="G17" s="336" t="s">
        <v>69</v>
      </c>
      <c r="H17" s="337"/>
      <c r="I17" s="337"/>
      <c r="J17" s="337" t="s">
        <v>70</v>
      </c>
      <c r="K17" s="337"/>
      <c r="L17" s="337"/>
      <c r="M17" s="337" t="s">
        <v>80</v>
      </c>
      <c r="N17" s="337"/>
      <c r="O17" s="338"/>
      <c r="P17" s="336" t="s">
        <v>86</v>
      </c>
      <c r="Q17" s="337"/>
      <c r="R17" s="337"/>
      <c r="S17" s="221">
        <v>7</v>
      </c>
      <c r="T17" s="337" t="s">
        <v>87</v>
      </c>
      <c r="U17" s="337"/>
      <c r="V17" s="337" t="s">
        <v>94</v>
      </c>
      <c r="W17" s="338"/>
      <c r="X17" s="102" t="s">
        <v>95</v>
      </c>
      <c r="Y17" s="102" t="s">
        <v>95</v>
      </c>
      <c r="Z17" s="233">
        <v>1</v>
      </c>
      <c r="AA17" s="135" t="s">
        <v>96</v>
      </c>
      <c r="AB17" s="135" t="s">
        <v>96</v>
      </c>
      <c r="AC17" s="233">
        <v>5</v>
      </c>
      <c r="AD17" s="215" t="str">
        <f>IF(S17=1,"L",IF(AND(1&lt;S17,S17&lt;=3),INDEX(AP!$B$41:$L$51,MATCH(算分!Z17,AP!$B$41:$B$51,1),MATCH(算分!AC17,AP!$B$41:$L$41,1)),IF(AND(3&lt;S17,S17&lt;=6),INDEX(AP!$B$28:$L$38,MATCH(算分!Z17,AP!$B$28:$B$38,1),MATCH(算分!AC17,AP!$B$28:$L$28,1)),IF(AND(6&lt;S17,S17&lt;=8),INDEX(AP!$B$15:$L$25,MATCH(算分!Z17,AP!$B$15:$B$25,1),MATCH(算分!AC17,AP!$B$15:$L$15,1)),IF(AND(8&lt;S17,S17&lt;=10),INDEX(AP!$B$2:$L$12,MATCH(算分!Z17,AP!$B$2:$B$12,1),MATCH(算分!AC17,AP!$B$2:$L$2,1)),"")))))</f>
        <v>L</v>
      </c>
      <c r="AE17" s="234"/>
      <c r="AF17" s="339"/>
      <c r="AG17" s="340"/>
      <c r="AH17" s="251">
        <v>5</v>
      </c>
      <c r="AI17" s="251">
        <v>5</v>
      </c>
      <c r="AJ17" s="254"/>
      <c r="AK17" s="254"/>
      <c r="AL17" s="340"/>
      <c r="AM17" s="340"/>
      <c r="AN17" s="219"/>
      <c r="AO17" s="219"/>
      <c r="AP17" s="219"/>
      <c r="AQ17" s="219"/>
      <c r="AR17" s="219"/>
      <c r="AS17" s="219"/>
      <c r="AT17" s="259"/>
    </row>
    <row r="18" spans="1:46" ht="92.25" customHeight="1">
      <c r="A18" s="336" t="s">
        <v>67</v>
      </c>
      <c r="B18" s="337"/>
      <c r="C18" s="341" t="s">
        <v>23</v>
      </c>
      <c r="D18" s="342"/>
      <c r="E18" s="337" t="s">
        <v>97</v>
      </c>
      <c r="F18" s="337"/>
      <c r="G18" s="336" t="s">
        <v>69</v>
      </c>
      <c r="H18" s="337"/>
      <c r="I18" s="337"/>
      <c r="J18" s="337" t="s">
        <v>70</v>
      </c>
      <c r="K18" s="337"/>
      <c r="L18" s="337"/>
      <c r="M18" s="337" t="s">
        <v>98</v>
      </c>
      <c r="N18" s="337"/>
      <c r="O18" s="338"/>
      <c r="P18" s="336" t="s">
        <v>86</v>
      </c>
      <c r="Q18" s="337"/>
      <c r="R18" s="337"/>
      <c r="S18" s="221">
        <v>7</v>
      </c>
      <c r="T18" s="337" t="s">
        <v>99</v>
      </c>
      <c r="U18" s="337"/>
      <c r="V18" s="337" t="s">
        <v>100</v>
      </c>
      <c r="W18" s="338"/>
      <c r="X18" s="102" t="s">
        <v>101</v>
      </c>
      <c r="Y18" s="102" t="s">
        <v>101</v>
      </c>
      <c r="Z18" s="233">
        <v>2</v>
      </c>
      <c r="AA18" s="135" t="s">
        <v>102</v>
      </c>
      <c r="AB18" s="135" t="s">
        <v>102</v>
      </c>
      <c r="AC18" s="233">
        <v>4</v>
      </c>
      <c r="AD18" s="215" t="str">
        <f>IF(S18=1,"L",IF(AND(1&lt;S18,S18&lt;=3),INDEX(AP!$B$41:$L$51,MATCH(算分!Z18,AP!$B$41:$B$51,1),MATCH(算分!AC18,AP!$B$41:$L$41,1)),IF(AND(3&lt;S18,S18&lt;=6),INDEX(AP!$B$28:$L$38,MATCH(算分!Z18,AP!$B$28:$B$38,1),MATCH(算分!AC18,AP!$B$28:$L$28,1)),IF(AND(6&lt;S18,S18&lt;=8),INDEX(AP!$B$15:$L$25,MATCH(算分!Z18,AP!$B$15:$B$25,1),MATCH(算分!AC18,AP!$B$15:$L$15,1)),IF(AND(8&lt;S18,S18&lt;=10),INDEX(AP!$B$2:$L$12,MATCH(算分!Z18,AP!$B$2:$B$12,1),MATCH(算分!AC18,AP!$B$2:$L$2,1)),"")))))</f>
        <v>L</v>
      </c>
      <c r="AE18" s="234"/>
      <c r="AF18" s="326" t="s">
        <v>85</v>
      </c>
      <c r="AG18" s="327"/>
      <c r="AH18" s="253">
        <v>6</v>
      </c>
      <c r="AI18" s="253">
        <v>6</v>
      </c>
      <c r="AJ18" s="254"/>
      <c r="AK18" s="254"/>
      <c r="AL18" s="340"/>
      <c r="AM18" s="340"/>
      <c r="AN18" s="219"/>
      <c r="AO18" s="219"/>
      <c r="AP18" s="219"/>
      <c r="AQ18" s="219"/>
      <c r="AR18" s="219"/>
      <c r="AS18" s="219"/>
      <c r="AT18" s="259"/>
    </row>
    <row r="19" spans="1:46" ht="92.25" customHeight="1">
      <c r="A19" s="336" t="s">
        <v>67</v>
      </c>
      <c r="B19" s="337"/>
      <c r="C19" s="341" t="s">
        <v>23</v>
      </c>
      <c r="D19" s="342"/>
      <c r="E19" s="337" t="s">
        <v>97</v>
      </c>
      <c r="F19" s="337"/>
      <c r="G19" s="336" t="s">
        <v>69</v>
      </c>
      <c r="H19" s="337"/>
      <c r="I19" s="337"/>
      <c r="J19" s="337" t="s">
        <v>70</v>
      </c>
      <c r="K19" s="337"/>
      <c r="L19" s="337"/>
      <c r="M19" s="337" t="s">
        <v>98</v>
      </c>
      <c r="N19" s="337"/>
      <c r="O19" s="338"/>
      <c r="P19" s="336" t="s">
        <v>86</v>
      </c>
      <c r="Q19" s="337"/>
      <c r="R19" s="337"/>
      <c r="S19" s="221">
        <v>7</v>
      </c>
      <c r="T19" s="337" t="s">
        <v>99</v>
      </c>
      <c r="U19" s="337"/>
      <c r="V19" s="337" t="s">
        <v>103</v>
      </c>
      <c r="W19" s="338"/>
      <c r="X19" s="102" t="s">
        <v>104</v>
      </c>
      <c r="Y19" s="102" t="s">
        <v>104</v>
      </c>
      <c r="Z19" s="233">
        <v>1</v>
      </c>
      <c r="AA19" s="102" t="s">
        <v>105</v>
      </c>
      <c r="AB19" s="102" t="s">
        <v>105</v>
      </c>
      <c r="AC19" s="233">
        <v>6</v>
      </c>
      <c r="AD19" s="215" t="str">
        <f>IF(S19=1,"L",IF(AND(1&lt;S19,S19&lt;=3),INDEX(AP!$B$41:$L$51,MATCH(算分!Z19,AP!$B$41:$B$51,1),MATCH(算分!AC19,AP!$B$41:$L$41,1)),IF(AND(3&lt;S19,S19&lt;=6),INDEX(AP!$B$28:$L$38,MATCH(算分!Z19,AP!$B$28:$B$38,1),MATCH(算分!AC19,AP!$B$28:$L$28,1)),IF(AND(6&lt;S19,S19&lt;=8),INDEX(AP!$B$15:$L$25,MATCH(算分!Z19,AP!$B$15:$B$25,1),MATCH(算分!AC19,AP!$B$15:$L$15,1)),IF(AND(8&lt;S19,S19&lt;=10),INDEX(AP!$B$2:$L$12,MATCH(算分!Z19,AP!$B$2:$B$12,1),MATCH(算分!AC19,AP!$B$2:$L$2,1)),"")))))</f>
        <v>L</v>
      </c>
      <c r="AE19" s="234"/>
      <c r="AF19" s="326" t="s">
        <v>85</v>
      </c>
      <c r="AG19" s="327"/>
      <c r="AH19" s="251">
        <v>7</v>
      </c>
      <c r="AI19" s="251">
        <v>7</v>
      </c>
      <c r="AJ19" s="254"/>
      <c r="AK19" s="254"/>
      <c r="AL19" s="340"/>
      <c r="AM19" s="340"/>
      <c r="AN19" s="219"/>
      <c r="AO19" s="219"/>
      <c r="AP19" s="219"/>
      <c r="AQ19" s="219"/>
      <c r="AR19" s="219"/>
      <c r="AS19" s="219"/>
      <c r="AT19" s="259"/>
    </row>
    <row r="20" spans="1:46" ht="92.25" customHeight="1">
      <c r="A20" s="336" t="s">
        <v>67</v>
      </c>
      <c r="B20" s="337"/>
      <c r="C20" s="341" t="s">
        <v>23</v>
      </c>
      <c r="D20" s="342"/>
      <c r="E20" s="337" t="s">
        <v>106</v>
      </c>
      <c r="F20" s="337"/>
      <c r="G20" s="336" t="s">
        <v>69</v>
      </c>
      <c r="H20" s="337"/>
      <c r="I20" s="337"/>
      <c r="J20" s="337" t="s">
        <v>70</v>
      </c>
      <c r="K20" s="337"/>
      <c r="L20" s="337"/>
      <c r="M20" s="337" t="s">
        <v>107</v>
      </c>
      <c r="N20" s="337"/>
      <c r="O20" s="338"/>
      <c r="P20" s="336" t="s">
        <v>72</v>
      </c>
      <c r="Q20" s="337"/>
      <c r="R20" s="337"/>
      <c r="S20" s="221">
        <v>7</v>
      </c>
      <c r="T20" s="337" t="s">
        <v>99</v>
      </c>
      <c r="U20" s="337"/>
      <c r="V20" s="337" t="s">
        <v>82</v>
      </c>
      <c r="W20" s="338"/>
      <c r="X20" s="102" t="s">
        <v>108</v>
      </c>
      <c r="Y20" s="102" t="s">
        <v>108</v>
      </c>
      <c r="Z20" s="233">
        <v>1</v>
      </c>
      <c r="AA20" s="135" t="s">
        <v>96</v>
      </c>
      <c r="AB20" s="135" t="s">
        <v>96</v>
      </c>
      <c r="AC20" s="233">
        <v>5</v>
      </c>
      <c r="AD20" s="215" t="str">
        <f>IF(S20=1,"L",IF(AND(1&lt;S20,S20&lt;=3),INDEX(AP!$B$41:$L$51,MATCH(算分!Z20,AP!$B$41:$B$51,1),MATCH(算分!AC20,AP!$B$41:$L$41,1)),IF(AND(3&lt;S20,S20&lt;=6),INDEX(AP!$B$28:$L$38,MATCH(算分!Z20,AP!$B$28:$B$38,1),MATCH(算分!AC20,AP!$B$28:$L$28,1)),IF(AND(6&lt;S20,S20&lt;=8),INDEX(AP!$B$15:$L$25,MATCH(算分!Z20,AP!$B$15:$B$25,1),MATCH(算分!AC20,AP!$B$15:$L$15,1)),IF(AND(8&lt;S20,S20&lt;=10),INDEX(AP!$B$2:$L$12,MATCH(算分!Z20,AP!$B$2:$B$12,1),MATCH(算分!AC20,AP!$B$2:$L$2,1)),"")))))</f>
        <v>L</v>
      </c>
      <c r="AE20" s="234"/>
      <c r="AF20" s="339"/>
      <c r="AG20" s="340"/>
      <c r="AH20" s="253">
        <v>8</v>
      </c>
      <c r="AI20" s="253">
        <v>8</v>
      </c>
      <c r="AJ20" s="254"/>
      <c r="AK20" s="254"/>
      <c r="AL20" s="340"/>
      <c r="AM20" s="340"/>
      <c r="AN20" s="219"/>
      <c r="AO20" s="219"/>
      <c r="AP20" s="219"/>
      <c r="AQ20" s="219"/>
      <c r="AR20" s="219"/>
      <c r="AS20" s="219"/>
      <c r="AT20" s="259"/>
    </row>
    <row r="21" spans="1:46" ht="78.75">
      <c r="S21" s="221">
        <v>7</v>
      </c>
      <c r="X21" s="136" t="s">
        <v>109</v>
      </c>
      <c r="Y21" s="136" t="s">
        <v>109</v>
      </c>
      <c r="Z21" s="233">
        <v>3</v>
      </c>
      <c r="AA21" s="102" t="s">
        <v>110</v>
      </c>
      <c r="AB21" s="102" t="s">
        <v>110</v>
      </c>
      <c r="AC21" s="233">
        <v>4</v>
      </c>
      <c r="AD21" s="215" t="str">
        <f>IF(S21=1,"L",IF(AND(1&lt;S21,S21&lt;=3),INDEX(AP!$B$41:$L$51,MATCH(算分!Z21,AP!$B$41:$B$51,1),MATCH(算分!AC21,AP!$B$41:$L$41,1)),IF(AND(3&lt;S21,S21&lt;=6),INDEX(AP!$B$28:$L$38,MATCH(算分!Z21,AP!$B$28:$B$38,1),MATCH(算分!AC21,AP!$B$28:$L$28,1)),IF(AND(6&lt;S21,S21&lt;=8),INDEX(AP!$B$15:$L$25,MATCH(算分!Z21,AP!$B$15:$B$25,1),MATCH(算分!AC21,AP!$B$15:$L$15,1)),IF(AND(8&lt;S21,S21&lt;=10),INDEX(AP!$B$2:$L$12,MATCH(算分!Z21,AP!$B$2:$B$12,1),MATCH(算分!AC21,AP!$B$2:$L$2,1)),"")))))</f>
        <v>L</v>
      </c>
      <c r="AF21" s="326" t="s">
        <v>85</v>
      </c>
      <c r="AG21" s="327"/>
      <c r="AH21" s="251">
        <v>9</v>
      </c>
      <c r="AI21" s="251">
        <v>9</v>
      </c>
    </row>
    <row r="22" spans="1:46" ht="80.25">
      <c r="S22" s="221">
        <v>7</v>
      </c>
      <c r="X22" s="136" t="s">
        <v>111</v>
      </c>
      <c r="Y22" s="136" t="s">
        <v>111</v>
      </c>
      <c r="Z22" s="233">
        <v>2</v>
      </c>
      <c r="AA22" s="135" t="s">
        <v>102</v>
      </c>
      <c r="AB22" s="135" t="s">
        <v>102</v>
      </c>
      <c r="AC22" s="233">
        <v>4</v>
      </c>
      <c r="AD22" s="215" t="str">
        <f>IF(S22=1,"L",IF(AND(1&lt;S22,S22&lt;=3),INDEX(AP!$B$41:$L$51,MATCH(算分!Z22,AP!$B$41:$B$51,1),MATCH(算分!AC22,AP!$B$41:$L$41,1)),IF(AND(3&lt;S22,S22&lt;=6),INDEX(AP!$B$28:$L$38,MATCH(算分!Z22,AP!$B$28:$B$38,1),MATCH(算分!AC22,AP!$B$28:$L$28,1)),IF(AND(6&lt;S22,S22&lt;=8),INDEX(AP!$B$15:$L$25,MATCH(算分!Z22,AP!$B$15:$B$25,1),MATCH(算分!AC22,AP!$B$15:$L$15,1)),IF(AND(8&lt;S22,S22&lt;=10),INDEX(AP!$B$2:$L$12,MATCH(算分!Z22,AP!$B$2:$B$12,1),MATCH(算分!AC22,AP!$B$2:$L$2,1)),"")))))</f>
        <v>L</v>
      </c>
      <c r="AF22" s="326" t="s">
        <v>85</v>
      </c>
      <c r="AG22" s="327"/>
      <c r="AH22" s="253">
        <v>10</v>
      </c>
      <c r="AI22" s="253">
        <v>10</v>
      </c>
    </row>
    <row r="23" spans="1:46" ht="78.75">
      <c r="S23" s="221">
        <v>7</v>
      </c>
      <c r="X23" s="102" t="s">
        <v>112</v>
      </c>
      <c r="Y23" s="102" t="s">
        <v>112</v>
      </c>
      <c r="Z23" s="233">
        <v>3</v>
      </c>
      <c r="AA23" s="135" t="s">
        <v>96</v>
      </c>
      <c r="AB23" s="135" t="s">
        <v>96</v>
      </c>
      <c r="AC23" s="233">
        <v>4</v>
      </c>
      <c r="AD23" s="215" t="str">
        <f>IF(S23=1,"L",IF(AND(1&lt;S23,S23&lt;=3),INDEX(AP!$B$41:$L$51,MATCH(算分!Z23,AP!$B$41:$B$51,1),MATCH(算分!AC23,AP!$B$41:$L$41,1)),IF(AND(3&lt;S23,S23&lt;=6),INDEX(AP!$B$28:$L$38,MATCH(算分!Z23,AP!$B$28:$B$38,1),MATCH(算分!AC23,AP!$B$28:$L$28,1)),IF(AND(6&lt;S23,S23&lt;=8),INDEX(AP!$B$15:$L$25,MATCH(算分!Z23,AP!$B$15:$B$25,1),MATCH(算分!AC23,AP!$B$15:$L$15,1)),IF(AND(8&lt;S23,S23&lt;=10),INDEX(AP!$B$2:$L$12,MATCH(算分!Z23,AP!$B$2:$B$12,1),MATCH(算分!AC23,AP!$B$2:$L$2,1)),"")))))</f>
        <v>L</v>
      </c>
      <c r="AH23" s="251">
        <v>11</v>
      </c>
      <c r="AI23" s="251">
        <v>11</v>
      </c>
    </row>
    <row r="24" spans="1:46" ht="126.75">
      <c r="S24" s="221">
        <v>7</v>
      </c>
      <c r="X24" s="102" t="s">
        <v>113</v>
      </c>
      <c r="Y24" s="102" t="s">
        <v>113</v>
      </c>
      <c r="Z24" s="233">
        <v>3</v>
      </c>
      <c r="AA24" s="135" t="s">
        <v>114</v>
      </c>
      <c r="AB24" s="135" t="s">
        <v>114</v>
      </c>
      <c r="AC24" s="233">
        <v>4</v>
      </c>
      <c r="AD24" s="215" t="str">
        <f>IF(S24=1,"L",IF(AND(1&lt;S24,S24&lt;=3),INDEX(AP!$B$41:$L$51,MATCH(算分!Z24,AP!$B$41:$B$51,1),MATCH(算分!AC24,AP!$B$41:$L$41,1)),IF(AND(3&lt;S24,S24&lt;=6),INDEX(AP!$B$28:$L$38,MATCH(算分!Z24,AP!$B$28:$B$38,1),MATCH(算分!AC24,AP!$B$28:$L$28,1)),IF(AND(6&lt;S24,S24&lt;=8),INDEX(AP!$B$15:$L$25,MATCH(算分!Z24,AP!$B$15:$B$25,1),MATCH(算分!AC24,AP!$B$15:$L$15,1)),IF(AND(8&lt;S24,S24&lt;=10),INDEX(AP!$B$2:$L$12,MATCH(算分!Z24,AP!$B$2:$B$12,1),MATCH(算分!AC24,AP!$B$2:$L$2,1)),"")))))</f>
        <v>L</v>
      </c>
      <c r="AF24" s="326" t="s">
        <v>85</v>
      </c>
      <c r="AG24" s="327"/>
      <c r="AH24" s="253">
        <v>12</v>
      </c>
      <c r="AI24" s="253">
        <v>12</v>
      </c>
    </row>
    <row r="25" spans="1:46" ht="90">
      <c r="S25" s="221">
        <v>7</v>
      </c>
      <c r="X25" s="102" t="s">
        <v>115</v>
      </c>
      <c r="Y25" s="102" t="s">
        <v>115</v>
      </c>
      <c r="Z25" s="233">
        <v>3</v>
      </c>
      <c r="AA25" s="135" t="s">
        <v>96</v>
      </c>
      <c r="AB25" s="135" t="s">
        <v>96</v>
      </c>
      <c r="AC25" s="233">
        <v>4</v>
      </c>
      <c r="AD25" s="215" t="str">
        <f>IF(S25=1,"L",IF(AND(1&lt;S25,S25&lt;=3),INDEX(AP!$B$41:$L$51,MATCH(算分!Z25,AP!$B$41:$B$51,1),MATCH(算分!AC25,AP!$B$41:$L$41,1)),IF(AND(3&lt;S25,S25&lt;=6),INDEX(AP!$B$28:$L$38,MATCH(算分!Z25,AP!$B$28:$B$38,1),MATCH(算分!AC25,AP!$B$28:$L$28,1)),IF(AND(6&lt;S25,S25&lt;=8),INDEX(AP!$B$15:$L$25,MATCH(算分!Z25,AP!$B$15:$B$25,1),MATCH(算分!AC25,AP!$B$15:$L$15,1)),IF(AND(8&lt;S25,S25&lt;=10),INDEX(AP!$B$2:$L$12,MATCH(算分!Z25,AP!$B$2:$B$12,1),MATCH(算分!AC25,AP!$B$2:$L$2,1)),"")))))</f>
        <v>L</v>
      </c>
      <c r="AH25" s="251">
        <v>13</v>
      </c>
      <c r="AI25" s="251">
        <v>13</v>
      </c>
    </row>
    <row r="26" spans="1:46" ht="112.5">
      <c r="S26" s="221">
        <v>7</v>
      </c>
      <c r="X26" s="102" t="s">
        <v>116</v>
      </c>
      <c r="Y26" s="102" t="s">
        <v>116</v>
      </c>
      <c r="Z26" s="233">
        <v>1</v>
      </c>
      <c r="AA26" s="102" t="s">
        <v>117</v>
      </c>
      <c r="AB26" s="102" t="s">
        <v>117</v>
      </c>
      <c r="AC26" s="233">
        <v>6</v>
      </c>
      <c r="AD26" s="215" t="str">
        <f>IF(S26=1,"L",IF(AND(1&lt;S26,S26&lt;=3),INDEX(AP!$B$41:$L$51,MATCH(算分!Z26,AP!$B$41:$B$51,1),MATCH(算分!AC26,AP!$B$41:$L$41,1)),IF(AND(3&lt;S26,S26&lt;=6),INDEX(AP!$B$28:$L$38,MATCH(算分!Z26,AP!$B$28:$B$38,1),MATCH(算分!AC26,AP!$B$28:$L$28,1)),IF(AND(6&lt;S26,S26&lt;=8),INDEX(AP!$B$15:$L$25,MATCH(算分!Z26,AP!$B$15:$B$25,1),MATCH(算分!AC26,AP!$B$15:$L$15,1)),IF(AND(8&lt;S26,S26&lt;=10),INDEX(AP!$B$2:$L$12,MATCH(算分!Z26,AP!$B$2:$B$12,1),MATCH(算分!AC26,AP!$B$2:$L$2,1)),"")))))</f>
        <v>L</v>
      </c>
      <c r="AF26" s="326" t="s">
        <v>85</v>
      </c>
      <c r="AG26" s="327"/>
      <c r="AH26" s="253">
        <v>14</v>
      </c>
      <c r="AI26" s="253">
        <v>14</v>
      </c>
    </row>
    <row r="27" spans="1:46" ht="78.75">
      <c r="S27" s="221">
        <v>7</v>
      </c>
      <c r="X27" s="102" t="s">
        <v>118</v>
      </c>
      <c r="Y27" s="102" t="s">
        <v>118</v>
      </c>
      <c r="Z27" s="235">
        <v>1</v>
      </c>
      <c r="AA27" s="102" t="s">
        <v>119</v>
      </c>
      <c r="AB27" s="102" t="s">
        <v>119</v>
      </c>
      <c r="AC27" s="233">
        <v>4</v>
      </c>
      <c r="AD27" s="215" t="str">
        <f>IF(S27=1,"L",IF(AND(1&lt;S27,S27&lt;=3),INDEX(AP!$B$41:$L$51,MATCH(算分!Z27,AP!$B$41:$B$51,1),MATCH(算分!AC27,AP!$B$41:$L$41,1)),IF(AND(3&lt;S27,S27&lt;=6),INDEX(AP!$B$28:$L$38,MATCH(算分!Z27,AP!$B$28:$B$38,1),MATCH(算分!AC27,AP!$B$28:$L$28,1)),IF(AND(6&lt;S27,S27&lt;=8),INDEX(AP!$B$15:$L$25,MATCH(算分!Z27,AP!$B$15:$B$25,1),MATCH(算分!AC27,AP!$B$15:$L$15,1)),IF(AND(8&lt;S27,S27&lt;=10),INDEX(AP!$B$2:$L$12,MATCH(算分!Z27,AP!$B$2:$B$12,1),MATCH(算分!AC27,AP!$B$2:$L$2,1)),"")))))</f>
        <v>L</v>
      </c>
      <c r="AF27" s="326" t="s">
        <v>85</v>
      </c>
      <c r="AG27" s="327"/>
      <c r="AH27" s="251">
        <v>15</v>
      </c>
      <c r="AI27" s="251">
        <v>15</v>
      </c>
    </row>
    <row r="28" spans="1:46" ht="112.5">
      <c r="S28" s="221">
        <v>7</v>
      </c>
      <c r="X28" s="102" t="s">
        <v>120</v>
      </c>
      <c r="Y28" s="102" t="s">
        <v>120</v>
      </c>
      <c r="Z28" s="233">
        <v>2</v>
      </c>
      <c r="AA28" s="102" t="s">
        <v>121</v>
      </c>
      <c r="AB28" s="102" t="s">
        <v>121</v>
      </c>
      <c r="AC28" s="233">
        <v>4</v>
      </c>
      <c r="AD28" s="215" t="str">
        <f>IF(S28=1,"L",IF(AND(1&lt;S28,S28&lt;=3),INDEX(AP!$B$41:$L$51,MATCH(算分!Z28,AP!$B$41:$B$51,1),MATCH(算分!AC28,AP!$B$41:$L$41,1)),IF(AND(3&lt;S28,S28&lt;=6),INDEX(AP!$B$28:$L$38,MATCH(算分!Z28,AP!$B$28:$B$38,1),MATCH(算分!AC28,AP!$B$28:$L$28,1)),IF(AND(6&lt;S28,S28&lt;=8),INDEX(AP!$B$15:$L$25,MATCH(算分!Z28,AP!$B$15:$B$25,1),MATCH(算分!AC28,AP!$B$15:$L$15,1)),IF(AND(8&lt;S28,S28&lt;=10),INDEX(AP!$B$2:$L$12,MATCH(算分!Z28,AP!$B$2:$B$12,1),MATCH(算分!AC28,AP!$B$2:$L$2,1)),"")))))</f>
        <v>L</v>
      </c>
      <c r="AF28" s="326" t="s">
        <v>85</v>
      </c>
      <c r="AG28" s="327"/>
      <c r="AH28" s="253">
        <v>16</v>
      </c>
      <c r="AI28" s="253">
        <v>16</v>
      </c>
    </row>
    <row r="29" spans="1:46" ht="101.25">
      <c r="S29" s="221">
        <v>7</v>
      </c>
      <c r="X29" s="102" t="s">
        <v>122</v>
      </c>
      <c r="Y29" s="102" t="s">
        <v>122</v>
      </c>
      <c r="Z29" s="233">
        <v>1</v>
      </c>
      <c r="AA29" s="135" t="s">
        <v>96</v>
      </c>
      <c r="AB29" s="135" t="s">
        <v>96</v>
      </c>
      <c r="AC29" s="233">
        <v>5</v>
      </c>
      <c r="AD29" s="215" t="str">
        <f>IF(S29=1,"L",IF(AND(1&lt;S29,S29&lt;=3),INDEX(AP!$B$41:$L$51,MATCH(算分!Z29,AP!$B$41:$B$51,1),MATCH(算分!AC29,AP!$B$41:$L$41,1)),IF(AND(3&lt;S29,S29&lt;=6),INDEX(AP!$B$28:$L$38,MATCH(算分!Z29,AP!$B$28:$B$38,1),MATCH(算分!AC29,AP!$B$28:$L$28,1)),IF(AND(6&lt;S29,S29&lt;=8),INDEX(AP!$B$15:$L$25,MATCH(算分!Z29,AP!$B$15:$B$25,1),MATCH(算分!AC29,AP!$B$15:$L$15,1)),IF(AND(8&lt;S29,S29&lt;=10),INDEX(AP!$B$2:$L$12,MATCH(算分!Z29,AP!$B$2:$B$12,1),MATCH(算分!AC29,AP!$B$2:$L$2,1)),"")))))</f>
        <v>L</v>
      </c>
      <c r="AH29" s="251">
        <v>17</v>
      </c>
      <c r="AI29" s="251">
        <v>17</v>
      </c>
    </row>
    <row r="30" spans="1:46" ht="78.75">
      <c r="S30" s="221">
        <v>7</v>
      </c>
      <c r="X30" s="102" t="s">
        <v>118</v>
      </c>
      <c r="Y30" s="102" t="s">
        <v>118</v>
      </c>
      <c r="Z30" s="235">
        <v>1</v>
      </c>
      <c r="AA30" s="102" t="s">
        <v>119</v>
      </c>
      <c r="AB30" s="102" t="s">
        <v>119</v>
      </c>
      <c r="AC30" s="233">
        <v>4</v>
      </c>
      <c r="AD30" s="215" t="str">
        <f>IF(S30=1,"L",IF(AND(1&lt;S30,S30&lt;=3),INDEX(AP!$B$41:$L$51,MATCH(算分!Z30,AP!$B$41:$B$51,1),MATCH(算分!AC30,AP!$B$41:$L$41,1)),IF(AND(3&lt;S30,S30&lt;=6),INDEX(AP!$B$28:$L$38,MATCH(算分!Z30,AP!$B$28:$B$38,1),MATCH(算分!AC30,AP!$B$28:$L$28,1)),IF(AND(6&lt;S30,S30&lt;=8),INDEX(AP!$B$15:$L$25,MATCH(算分!Z30,AP!$B$15:$B$25,1),MATCH(算分!AC30,AP!$B$15:$L$15,1)),IF(AND(8&lt;S30,S30&lt;=10),INDEX(AP!$B$2:$L$12,MATCH(算分!Z30,AP!$B$2:$B$12,1),MATCH(算分!AC30,AP!$B$2:$L$2,1)),"")))))</f>
        <v>L</v>
      </c>
      <c r="AF30" s="326" t="s">
        <v>85</v>
      </c>
      <c r="AG30" s="327"/>
      <c r="AH30" s="253">
        <v>18</v>
      </c>
      <c r="AI30" s="253">
        <v>18</v>
      </c>
    </row>
    <row r="31" spans="1:46" ht="101.25">
      <c r="S31" s="221">
        <v>7</v>
      </c>
      <c r="X31" s="138" t="s">
        <v>122</v>
      </c>
      <c r="Y31" s="138" t="s">
        <v>122</v>
      </c>
      <c r="Z31" s="233">
        <v>1</v>
      </c>
      <c r="AA31" s="135" t="s">
        <v>96</v>
      </c>
      <c r="AB31" s="135" t="s">
        <v>96</v>
      </c>
      <c r="AC31" s="233">
        <v>5</v>
      </c>
      <c r="AD31" s="215" t="str">
        <f>IF(S31=1,"L",IF(AND(1&lt;S31,S31&lt;=3),INDEX(AP!$B$41:$L$51,MATCH(算分!Z31,AP!$B$41:$B$51,1),MATCH(算分!AC31,AP!$B$41:$L$41,1)),IF(AND(3&lt;S31,S31&lt;=6),INDEX(AP!$B$28:$L$38,MATCH(算分!Z31,AP!$B$28:$B$38,1),MATCH(算分!AC31,AP!$B$28:$L$28,1)),IF(AND(6&lt;S31,S31&lt;=8),INDEX(AP!$B$15:$L$25,MATCH(算分!Z31,AP!$B$15:$B$25,1),MATCH(算分!AC31,AP!$B$15:$L$15,1)),IF(AND(8&lt;S31,S31&lt;=10),INDEX(AP!$B$2:$L$12,MATCH(算分!Z31,AP!$B$2:$B$12,1),MATCH(算分!AC31,AP!$B$2:$L$2,1)),"")))))</f>
        <v>L</v>
      </c>
      <c r="AH31" s="251">
        <v>19</v>
      </c>
      <c r="AI31" s="251">
        <v>19</v>
      </c>
    </row>
    <row r="32" spans="1:46" ht="67.5">
      <c r="S32" s="221">
        <v>7</v>
      </c>
      <c r="X32" s="138" t="s">
        <v>123</v>
      </c>
      <c r="Y32" s="138" t="s">
        <v>123</v>
      </c>
      <c r="Z32" s="236">
        <v>2</v>
      </c>
      <c r="AA32" s="138" t="s">
        <v>124</v>
      </c>
      <c r="AB32" s="138" t="s">
        <v>124</v>
      </c>
      <c r="AC32" s="233">
        <v>4</v>
      </c>
      <c r="AD32" s="215" t="str">
        <f>IF(S32=1,"L",IF(AND(1&lt;S32,S32&lt;=3),INDEX(AP!$B$41:$L$51,MATCH(算分!Z32,AP!$B$41:$B$51,1),MATCH(算分!AC32,AP!$B$41:$L$41,1)),IF(AND(3&lt;S32,S32&lt;=6),INDEX(AP!$B$28:$L$38,MATCH(算分!Z32,AP!$B$28:$B$38,1),MATCH(算分!AC32,AP!$B$28:$L$28,1)),IF(AND(6&lt;S32,S32&lt;=8),INDEX(AP!$B$15:$L$25,MATCH(算分!Z32,AP!$B$15:$B$25,1),MATCH(算分!AC32,AP!$B$15:$L$15,1)),IF(AND(8&lt;S32,S32&lt;=10),INDEX(AP!$B$2:$L$12,MATCH(算分!Z32,AP!$B$2:$B$12,1),MATCH(算分!AC32,AP!$B$2:$L$2,1)),"")))))</f>
        <v>L</v>
      </c>
      <c r="AF32" s="326" t="s">
        <v>85</v>
      </c>
      <c r="AG32" s="327"/>
      <c r="AH32" s="253">
        <v>20</v>
      </c>
      <c r="AI32" s="253">
        <v>20</v>
      </c>
    </row>
    <row r="33" spans="19:35" ht="78.75">
      <c r="S33" s="221">
        <v>7</v>
      </c>
      <c r="X33" s="138" t="s">
        <v>118</v>
      </c>
      <c r="Y33" s="138" t="s">
        <v>118</v>
      </c>
      <c r="Z33" s="236">
        <v>1</v>
      </c>
      <c r="AA33" s="138" t="s">
        <v>119</v>
      </c>
      <c r="AB33" s="138" t="s">
        <v>119</v>
      </c>
      <c r="AC33" s="233">
        <v>4</v>
      </c>
      <c r="AD33" s="215" t="str">
        <f>IF(S33=1,"L",IF(AND(1&lt;S33,S33&lt;=3),INDEX(AP!$B$41:$L$51,MATCH(算分!Z33,AP!$B$41:$B$51,1),MATCH(算分!AC33,AP!$B$41:$L$41,1)),IF(AND(3&lt;S33,S33&lt;=6),INDEX(AP!$B$28:$L$38,MATCH(算分!Z33,AP!$B$28:$B$38,1),MATCH(算分!AC33,AP!$B$28:$L$28,1)),IF(AND(6&lt;S33,S33&lt;=8),INDEX(AP!$B$15:$L$25,MATCH(算分!Z33,AP!$B$15:$B$25,1),MATCH(算分!AC33,AP!$B$15:$L$15,1)),IF(AND(8&lt;S33,S33&lt;=10),INDEX(AP!$B$2:$L$12,MATCH(算分!Z33,AP!$B$2:$B$12,1),MATCH(算分!AC33,AP!$B$2:$L$2,1)),"")))))</f>
        <v>L</v>
      </c>
      <c r="AF33" s="326" t="s">
        <v>85</v>
      </c>
      <c r="AG33" s="327"/>
      <c r="AH33" s="251">
        <v>21</v>
      </c>
      <c r="AI33" s="251">
        <v>21</v>
      </c>
    </row>
    <row r="34" spans="19:35" ht="101.25">
      <c r="S34" s="221">
        <v>7</v>
      </c>
      <c r="X34" s="138" t="s">
        <v>122</v>
      </c>
      <c r="Y34" s="138" t="s">
        <v>122</v>
      </c>
      <c r="Z34" s="233">
        <v>1</v>
      </c>
      <c r="AA34" s="135" t="s">
        <v>96</v>
      </c>
      <c r="AB34" s="135" t="s">
        <v>96</v>
      </c>
      <c r="AC34" s="233">
        <v>5</v>
      </c>
      <c r="AD34" s="215" t="str">
        <f>IF(S34=1,"L",IF(AND(1&lt;S34,S34&lt;=3),INDEX(AP!$B$41:$L$51,MATCH(算分!Z34,AP!$B$41:$B$51,1),MATCH(算分!AC34,AP!$B$41:$L$41,1)),IF(AND(3&lt;S34,S34&lt;=6),INDEX(AP!$B$28:$L$38,MATCH(算分!Z34,AP!$B$28:$B$38,1),MATCH(算分!AC34,AP!$B$28:$L$28,1)),IF(AND(6&lt;S34,S34&lt;=8),INDEX(AP!$B$15:$L$25,MATCH(算分!Z34,AP!$B$15:$B$25,1),MATCH(算分!AC34,AP!$B$15:$L$15,1)),IF(AND(8&lt;S34,S34&lt;=10),INDEX(AP!$B$2:$L$12,MATCH(算分!Z34,AP!$B$2:$B$12,1),MATCH(算分!AC34,AP!$B$2:$L$2,1)),"")))))</f>
        <v>L</v>
      </c>
      <c r="AH34" s="253">
        <v>22</v>
      </c>
      <c r="AI34" s="253">
        <v>22</v>
      </c>
    </row>
    <row r="35" spans="19:35" ht="67.5">
      <c r="S35" s="221">
        <v>7</v>
      </c>
      <c r="X35" s="138" t="s">
        <v>125</v>
      </c>
      <c r="Y35" s="138" t="s">
        <v>125</v>
      </c>
      <c r="Z35" s="236">
        <v>2</v>
      </c>
      <c r="AA35" s="138" t="s">
        <v>126</v>
      </c>
      <c r="AB35" s="138" t="s">
        <v>126</v>
      </c>
      <c r="AC35" s="233">
        <v>4</v>
      </c>
      <c r="AD35" s="215" t="str">
        <f>IF(S35=1,"L",IF(AND(1&lt;S35,S35&lt;=3),INDEX(AP!$B$41:$L$51,MATCH(算分!Z35,AP!$B$41:$B$51,1),MATCH(算分!AC35,AP!$B$41:$L$41,1)),IF(AND(3&lt;S35,S35&lt;=6),INDEX(AP!$B$28:$L$38,MATCH(算分!Z35,AP!$B$28:$B$38,1),MATCH(算分!AC35,AP!$B$28:$L$28,1)),IF(AND(6&lt;S35,S35&lt;=8),INDEX(AP!$B$15:$L$25,MATCH(算分!Z35,AP!$B$15:$B$25,1),MATCH(算分!AC35,AP!$B$15:$L$15,1)),IF(AND(8&lt;S35,S35&lt;=10),INDEX(AP!$B$2:$L$12,MATCH(算分!Z35,AP!$B$2:$B$12,1),MATCH(算分!AC35,AP!$B$2:$L$2,1)),"")))))</f>
        <v>L</v>
      </c>
      <c r="AF35" s="326" t="s">
        <v>85</v>
      </c>
      <c r="AG35" s="327"/>
      <c r="AH35" s="251">
        <v>23</v>
      </c>
      <c r="AI35" s="251">
        <v>23</v>
      </c>
    </row>
    <row r="36" spans="19:35" ht="78.75">
      <c r="S36" s="221">
        <v>7</v>
      </c>
      <c r="X36" s="138" t="s">
        <v>127</v>
      </c>
      <c r="Y36" s="138" t="s">
        <v>127</v>
      </c>
      <c r="Z36" s="236">
        <v>1</v>
      </c>
      <c r="AA36" s="138" t="s">
        <v>118</v>
      </c>
      <c r="AB36" s="138" t="s">
        <v>118</v>
      </c>
      <c r="AC36" s="233">
        <v>4</v>
      </c>
      <c r="AD36" s="215" t="str">
        <f>IF(S36=1,"L",IF(AND(1&lt;S36,S36&lt;=3),INDEX(AP!$B$41:$L$51,MATCH(算分!Z36,AP!$B$41:$B$51,1),MATCH(算分!AC36,AP!$B$41:$L$41,1)),IF(AND(3&lt;S36,S36&lt;=6),INDEX(AP!$B$28:$L$38,MATCH(算分!Z36,AP!$B$28:$B$38,1),MATCH(算分!AC36,AP!$B$28:$L$28,1)),IF(AND(6&lt;S36,S36&lt;=8),INDEX(AP!$B$15:$L$25,MATCH(算分!Z36,AP!$B$15:$B$25,1),MATCH(算分!AC36,AP!$B$15:$L$15,1)),IF(AND(8&lt;S36,S36&lt;=10),INDEX(AP!$B$2:$L$12,MATCH(算分!Z36,AP!$B$2:$B$12,1),MATCH(算分!AC36,AP!$B$2:$L$2,1)),"")))))</f>
        <v>L</v>
      </c>
      <c r="AH36" s="253">
        <v>24</v>
      </c>
      <c r="AI36" s="253">
        <v>24</v>
      </c>
    </row>
    <row r="37" spans="19:35" ht="112.5">
      <c r="S37" s="221">
        <v>7</v>
      </c>
      <c r="X37" s="138" t="s">
        <v>128</v>
      </c>
      <c r="Y37" s="138" t="s">
        <v>128</v>
      </c>
      <c r="Z37" s="236">
        <v>2</v>
      </c>
      <c r="AA37" s="138" t="s">
        <v>121</v>
      </c>
      <c r="AB37" s="138" t="s">
        <v>121</v>
      </c>
      <c r="AC37" s="233">
        <v>4</v>
      </c>
      <c r="AD37" s="215" t="str">
        <f>IF(S37=1,"L",IF(AND(1&lt;S37,S37&lt;=3),INDEX(AP!$B$41:$L$51,MATCH(算分!Z37,AP!$B$41:$B$51,1),MATCH(算分!AC37,AP!$B$41:$L$41,1)),IF(AND(3&lt;S37,S37&lt;=6),INDEX(AP!$B$28:$L$38,MATCH(算分!Z37,AP!$B$28:$B$38,1),MATCH(算分!AC37,AP!$B$28:$L$28,1)),IF(AND(6&lt;S37,S37&lt;=8),INDEX(AP!$B$15:$L$25,MATCH(算分!Z37,AP!$B$15:$B$25,1),MATCH(算分!AC37,AP!$B$15:$L$15,1)),IF(AND(8&lt;S37,S37&lt;=10),INDEX(AP!$B$2:$L$12,MATCH(算分!Z37,AP!$B$2:$B$12,1),MATCH(算分!AC37,AP!$B$2:$L$2,1)),"")))))</f>
        <v>L</v>
      </c>
      <c r="AF37" s="326" t="s">
        <v>85</v>
      </c>
      <c r="AG37" s="327"/>
      <c r="AH37" s="251">
        <v>25</v>
      </c>
      <c r="AI37" s="251">
        <v>25</v>
      </c>
    </row>
    <row r="38" spans="19:35" ht="101.25">
      <c r="S38" s="221">
        <v>7</v>
      </c>
      <c r="X38" s="138" t="s">
        <v>129</v>
      </c>
      <c r="Y38" s="138" t="s">
        <v>129</v>
      </c>
      <c r="Z38" s="233">
        <v>1</v>
      </c>
      <c r="AA38" s="135" t="s">
        <v>96</v>
      </c>
      <c r="AB38" s="135" t="s">
        <v>96</v>
      </c>
      <c r="AC38" s="233">
        <v>5</v>
      </c>
      <c r="AD38" s="215" t="str">
        <f>IF(S38=1,"L",IF(AND(1&lt;S38,S38&lt;=3),INDEX(AP!$B$41:$L$51,MATCH(算分!Z38,AP!$B$41:$B$51,1),MATCH(算分!AC38,AP!$B$41:$L$41,1)),IF(AND(3&lt;S38,S38&lt;=6),INDEX(AP!$B$28:$L$38,MATCH(算分!Z38,AP!$B$28:$B$38,1),MATCH(算分!AC38,AP!$B$28:$L$28,1)),IF(AND(6&lt;S38,S38&lt;=8),INDEX(AP!$B$15:$L$25,MATCH(算分!Z38,AP!$B$15:$B$25,1),MATCH(算分!AC38,AP!$B$15:$L$15,1)),IF(AND(8&lt;S38,S38&lt;=10),INDEX(AP!$B$2:$L$12,MATCH(算分!Z38,AP!$B$2:$B$12,1),MATCH(算分!AC38,AP!$B$2:$L$2,1)),"")))))</f>
        <v>L</v>
      </c>
      <c r="AH38" s="253">
        <v>26</v>
      </c>
      <c r="AI38" s="253">
        <v>26</v>
      </c>
    </row>
    <row r="39" spans="19:35" ht="101.25">
      <c r="S39" s="221">
        <v>7</v>
      </c>
      <c r="X39" s="138" t="s">
        <v>130</v>
      </c>
      <c r="Y39" s="138" t="s">
        <v>130</v>
      </c>
      <c r="Z39" s="233">
        <v>1</v>
      </c>
      <c r="AA39" s="135" t="s">
        <v>96</v>
      </c>
      <c r="AB39" s="135" t="s">
        <v>96</v>
      </c>
      <c r="AC39" s="233">
        <v>5</v>
      </c>
      <c r="AD39" s="215" t="str">
        <f>IF(S39=1,"L",IF(AND(1&lt;S39,S39&lt;=3),INDEX(AP!$B$41:$L$51,MATCH(算分!Z39,AP!$B$41:$B$51,1),MATCH(算分!AC39,AP!$B$41:$L$41,1)),IF(AND(3&lt;S39,S39&lt;=6),INDEX(AP!$B$28:$L$38,MATCH(算分!Z39,AP!$B$28:$B$38,1),MATCH(算分!AC39,AP!$B$28:$L$28,1)),IF(AND(6&lt;S39,S39&lt;=8),INDEX(AP!$B$15:$L$25,MATCH(算分!Z39,AP!$B$15:$B$25,1),MATCH(算分!AC39,AP!$B$15:$L$15,1)),IF(AND(8&lt;S39,S39&lt;=10),INDEX(AP!$B$2:$L$12,MATCH(算分!Z39,AP!$B$2:$B$12,1),MATCH(算分!AC39,AP!$B$2:$L$2,1)),"")))))</f>
        <v>L</v>
      </c>
      <c r="AH39" s="251">
        <v>27</v>
      </c>
      <c r="AI39" s="251">
        <v>27</v>
      </c>
    </row>
    <row r="40" spans="19:35" ht="78.75">
      <c r="S40" s="221">
        <v>7</v>
      </c>
      <c r="X40" s="138" t="s">
        <v>131</v>
      </c>
      <c r="Y40" s="138" t="s">
        <v>131</v>
      </c>
      <c r="Z40" s="237">
        <v>2</v>
      </c>
      <c r="AA40" s="138" t="s">
        <v>132</v>
      </c>
      <c r="AB40" s="138" t="s">
        <v>132</v>
      </c>
      <c r="AC40" s="233">
        <v>4</v>
      </c>
      <c r="AD40" s="215" t="str">
        <f>IF(S40=1,"L",IF(AND(1&lt;S40,S40&lt;=3),INDEX(AP!$B$41:$L$51,MATCH(算分!Z40,AP!$B$41:$B$51,1),MATCH(算分!AC40,AP!$B$41:$L$41,1)),IF(AND(3&lt;S40,S40&lt;=6),INDEX(AP!$B$28:$L$38,MATCH(算分!Z40,AP!$B$28:$B$38,1),MATCH(算分!AC40,AP!$B$28:$L$28,1)),IF(AND(6&lt;S40,S40&lt;=8),INDEX(AP!$B$15:$L$25,MATCH(算分!Z40,AP!$B$15:$B$25,1),MATCH(算分!AC40,AP!$B$15:$L$15,1)),IF(AND(8&lt;S40,S40&lt;=10),INDEX(AP!$B$2:$L$12,MATCH(算分!Z40,AP!$B$2:$B$12,1),MATCH(算分!AC40,AP!$B$2:$L$2,1)),"")))))</f>
        <v>L</v>
      </c>
      <c r="AF40" s="326" t="s">
        <v>85</v>
      </c>
      <c r="AG40" s="327"/>
      <c r="AH40" s="253">
        <v>28</v>
      </c>
      <c r="AI40" s="253">
        <v>28</v>
      </c>
    </row>
    <row r="41" spans="19:35" ht="78.75">
      <c r="S41" s="221">
        <v>7</v>
      </c>
      <c r="X41" s="138" t="s">
        <v>133</v>
      </c>
      <c r="Y41" s="138" t="s">
        <v>133</v>
      </c>
      <c r="Z41" s="237">
        <v>2</v>
      </c>
      <c r="AA41" s="138" t="s">
        <v>134</v>
      </c>
      <c r="AB41" s="138" t="s">
        <v>134</v>
      </c>
      <c r="AC41" s="233">
        <v>4</v>
      </c>
      <c r="AD41" s="215" t="str">
        <f>IF(S41=1,"L",IF(AND(1&lt;S41,S41&lt;=3),INDEX(AP!$B$41:$L$51,MATCH(算分!Z41,AP!$B$41:$B$51,1),MATCH(算分!AC41,AP!$B$41:$L$41,1)),IF(AND(3&lt;S41,S41&lt;=6),INDEX(AP!$B$28:$L$38,MATCH(算分!Z41,AP!$B$28:$B$38,1),MATCH(算分!AC41,AP!$B$28:$L$28,1)),IF(AND(6&lt;S41,S41&lt;=8),INDEX(AP!$B$15:$L$25,MATCH(算分!Z41,AP!$B$15:$B$25,1),MATCH(算分!AC41,AP!$B$15:$L$15,1)),IF(AND(8&lt;S41,S41&lt;=10),INDEX(AP!$B$2:$L$12,MATCH(算分!Z41,AP!$B$2:$B$12,1),MATCH(算分!AC41,AP!$B$2:$L$2,1)),"")))))</f>
        <v>L</v>
      </c>
      <c r="AF41" s="326" t="s">
        <v>85</v>
      </c>
      <c r="AG41" s="327"/>
      <c r="AH41" s="251">
        <v>29</v>
      </c>
      <c r="AI41" s="251">
        <v>29</v>
      </c>
    </row>
    <row r="42" spans="19:35" ht="101.25">
      <c r="S42" s="222">
        <v>5</v>
      </c>
      <c r="X42" s="142" t="s">
        <v>135</v>
      </c>
      <c r="Y42" s="142" t="s">
        <v>135</v>
      </c>
      <c r="Z42" s="238">
        <v>3</v>
      </c>
      <c r="AA42" s="142" t="s">
        <v>136</v>
      </c>
      <c r="AB42" s="142" t="s">
        <v>136</v>
      </c>
      <c r="AC42" s="239">
        <v>3</v>
      </c>
      <c r="AD42" s="215" t="str">
        <f>IF(S42=1,"L",IF(AND(1&lt;S42,S42&lt;=3),INDEX(AP!$B$41:$L$51,MATCH(算分!Z42,AP!$B$41:$B$51,1),MATCH(算分!AC42,AP!$B$41:$L$41,1)),IF(AND(3&lt;S42,S42&lt;=6),INDEX(AP!$B$28:$L$38,MATCH(算分!Z42,AP!$B$28:$B$38,1),MATCH(算分!AC42,AP!$B$28:$L$28,1)),IF(AND(6&lt;S42,S42&lt;=8),INDEX(AP!$B$15:$L$25,MATCH(算分!Z42,AP!$B$15:$B$25,1),MATCH(算分!AC42,AP!$B$15:$L$15,1)),IF(AND(8&lt;S42,S42&lt;=10),INDEX(AP!$B$2:$L$12,MATCH(算分!Z42,AP!$B$2:$B$12,1),MATCH(算分!AC42,AP!$B$2:$L$2,1)),"")))))</f>
        <v>L</v>
      </c>
      <c r="AH42" s="253">
        <v>30</v>
      </c>
      <c r="AI42" s="253">
        <v>30</v>
      </c>
    </row>
    <row r="43" spans="19:35" ht="101.25">
      <c r="S43" s="222">
        <v>5</v>
      </c>
      <c r="X43" s="142" t="s">
        <v>135</v>
      </c>
      <c r="Y43" s="142" t="s">
        <v>135</v>
      </c>
      <c r="Z43" s="238">
        <v>3</v>
      </c>
      <c r="AA43" s="142" t="s">
        <v>136</v>
      </c>
      <c r="AB43" s="142" t="s">
        <v>136</v>
      </c>
      <c r="AC43" s="239">
        <v>3</v>
      </c>
      <c r="AD43" s="215" t="str">
        <f>IF(S43=1,"L",IF(AND(1&lt;S43,S43&lt;=3),INDEX(AP!$B$41:$L$51,MATCH(算分!Z43,AP!$B$41:$B$51,1),MATCH(算分!AC43,AP!$B$41:$L$41,1)),IF(AND(3&lt;S43,S43&lt;=6),INDEX(AP!$B$28:$L$38,MATCH(算分!Z43,AP!$B$28:$B$38,1),MATCH(算分!AC43,AP!$B$28:$L$28,1)),IF(AND(6&lt;S43,S43&lt;=8),INDEX(AP!$B$15:$L$25,MATCH(算分!Z43,AP!$B$15:$B$25,1),MATCH(算分!AC43,AP!$B$15:$L$15,1)),IF(AND(8&lt;S43,S43&lt;=10),INDEX(AP!$B$2:$L$12,MATCH(算分!Z43,AP!$B$2:$B$12,1),MATCH(算分!AC43,AP!$B$2:$L$2,1)),"")))))</f>
        <v>L</v>
      </c>
      <c r="AH43" s="251">
        <v>31</v>
      </c>
      <c r="AI43" s="251">
        <v>31</v>
      </c>
    </row>
    <row r="44" spans="19:35" ht="45">
      <c r="S44" s="222">
        <v>5</v>
      </c>
      <c r="X44" s="144" t="s">
        <v>137</v>
      </c>
      <c r="Y44" s="144" t="s">
        <v>137</v>
      </c>
      <c r="Z44" s="240">
        <v>3</v>
      </c>
      <c r="AA44" s="144" t="s">
        <v>138</v>
      </c>
      <c r="AB44" s="144" t="s">
        <v>138</v>
      </c>
      <c r="AC44" s="241">
        <v>4</v>
      </c>
      <c r="AD44" s="215" t="str">
        <f>IF(S44=1,"L",IF(AND(1&lt;S44,S44&lt;=3),INDEX(AP!$B$41:$L$51,MATCH(算分!Z44,AP!$B$41:$B$51,1),MATCH(算分!AC44,AP!$B$41:$L$41,1)),IF(AND(3&lt;S44,S44&lt;=6),INDEX(AP!$B$28:$L$38,MATCH(算分!Z44,AP!$B$28:$B$38,1),MATCH(算分!AC44,AP!$B$28:$L$28,1)),IF(AND(6&lt;S44,S44&lt;=8),INDEX(AP!$B$15:$L$25,MATCH(算分!Z44,AP!$B$15:$B$25,1),MATCH(算分!AC44,AP!$B$15:$L$15,1)),IF(AND(8&lt;S44,S44&lt;=10),INDEX(AP!$B$2:$L$12,MATCH(算分!Z44,AP!$B$2:$B$12,1),MATCH(算分!AC44,AP!$B$2:$L$2,1)),"")))))</f>
        <v>L</v>
      </c>
      <c r="AH44" s="253">
        <v>32</v>
      </c>
      <c r="AI44" s="253">
        <v>32</v>
      </c>
    </row>
    <row r="45" spans="19:35" ht="45">
      <c r="S45" s="222">
        <v>5</v>
      </c>
      <c r="X45" s="144" t="s">
        <v>137</v>
      </c>
      <c r="Y45" s="144" t="s">
        <v>137</v>
      </c>
      <c r="Z45" s="240">
        <v>3</v>
      </c>
      <c r="AA45" s="144" t="s">
        <v>138</v>
      </c>
      <c r="AB45" s="144" t="s">
        <v>138</v>
      </c>
      <c r="AC45" s="241">
        <v>4</v>
      </c>
      <c r="AD45" s="215" t="str">
        <f>IF(S45=1,"L",IF(AND(1&lt;S45,S45&lt;=3),INDEX(AP!$B$41:$L$51,MATCH(算分!Z45,AP!$B$41:$B$51,1),MATCH(算分!AC45,AP!$B$41:$L$41,1)),IF(AND(3&lt;S45,S45&lt;=6),INDEX(AP!$B$28:$L$38,MATCH(算分!Z45,AP!$B$28:$B$38,1),MATCH(算分!AC45,AP!$B$28:$L$28,1)),IF(AND(6&lt;S45,S45&lt;=8),INDEX(AP!$B$15:$L$25,MATCH(算分!Z45,AP!$B$15:$B$25,1),MATCH(算分!AC45,AP!$B$15:$L$15,1)),IF(AND(8&lt;S45,S45&lt;=10),INDEX(AP!$B$2:$L$12,MATCH(算分!Z45,AP!$B$2:$B$12,1),MATCH(算分!AC45,AP!$B$2:$L$2,1)),"")))))</f>
        <v>L</v>
      </c>
      <c r="AH45" s="251">
        <v>33</v>
      </c>
      <c r="AI45" s="251">
        <v>33</v>
      </c>
    </row>
    <row r="46" spans="19:35" ht="67.5">
      <c r="S46" s="223">
        <v>5</v>
      </c>
      <c r="X46" s="224" t="s">
        <v>139</v>
      </c>
      <c r="Y46" s="224" t="s">
        <v>139</v>
      </c>
      <c r="Z46" s="242">
        <v>4</v>
      </c>
      <c r="AA46" s="224" t="s">
        <v>140</v>
      </c>
      <c r="AB46" s="224" t="s">
        <v>140</v>
      </c>
      <c r="AC46" s="243">
        <v>5</v>
      </c>
      <c r="AD46" s="215" t="str">
        <f>IF(S46=1,"L",IF(AND(1&lt;S46,S46&lt;=3),INDEX(AP!$B$41:$L$51,MATCH(算分!Z46,AP!$B$41:$B$51,1),MATCH(算分!AC46,AP!$B$41:$L$41,1)),IF(AND(3&lt;S46,S46&lt;=6),INDEX(AP!$B$28:$L$38,MATCH(算分!Z46,AP!$B$28:$B$38,1),MATCH(算分!AC46,AP!$B$28:$L$28,1)),IF(AND(6&lt;S46,S46&lt;=8),INDEX(AP!$B$15:$L$25,MATCH(算分!Z46,AP!$B$15:$B$25,1),MATCH(算分!AC46,AP!$B$15:$L$15,1)),IF(AND(8&lt;S46,S46&lt;=10),INDEX(AP!$B$2:$L$12,MATCH(算分!Z46,AP!$B$2:$B$12,1),MATCH(算分!AC46,AP!$B$2:$L$2,1)),"")))))</f>
        <v>L</v>
      </c>
      <c r="AH46" s="253">
        <v>34</v>
      </c>
      <c r="AI46" s="253">
        <v>34</v>
      </c>
    </row>
    <row r="47" spans="19:35" ht="157.5">
      <c r="S47" s="223">
        <v>5</v>
      </c>
      <c r="X47" s="224" t="s">
        <v>141</v>
      </c>
      <c r="Y47" s="224" t="s">
        <v>141</v>
      </c>
      <c r="Z47" s="244">
        <v>4</v>
      </c>
      <c r="AA47" s="138" t="s">
        <v>142</v>
      </c>
      <c r="AB47" s="138" t="s">
        <v>142</v>
      </c>
      <c r="AC47" s="245">
        <v>5</v>
      </c>
      <c r="AD47" s="215" t="str">
        <f>IF(S47=1,"L",IF(AND(1&lt;S47,S47&lt;=3),INDEX(AP!$B$41:$L$51,MATCH(算分!Z47,AP!$B$41:$B$51,1),MATCH(算分!AC47,AP!$B$41:$L$41,1)),IF(AND(3&lt;S47,S47&lt;=6),INDEX(AP!$B$28:$L$38,MATCH(算分!Z47,AP!$B$28:$B$38,1),MATCH(算分!AC47,AP!$B$28:$L$28,1)),IF(AND(6&lt;S47,S47&lt;=8),INDEX(AP!$B$15:$L$25,MATCH(算分!Z47,AP!$B$15:$B$25,1),MATCH(算分!AC47,AP!$B$15:$L$15,1)),IF(AND(8&lt;S47,S47&lt;=10),INDEX(AP!$B$2:$L$12,MATCH(算分!Z47,AP!$B$2:$B$12,1),MATCH(算分!AC47,AP!$B$2:$L$2,1)),"")))))</f>
        <v>L</v>
      </c>
      <c r="AH47" s="251">
        <v>35</v>
      </c>
      <c r="AI47" s="251">
        <v>35</v>
      </c>
    </row>
    <row r="48" spans="19:35" ht="67.5">
      <c r="S48" s="223">
        <v>5</v>
      </c>
      <c r="X48" s="224" t="s">
        <v>143</v>
      </c>
      <c r="Y48" s="224" t="s">
        <v>143</v>
      </c>
      <c r="Z48" s="244">
        <v>4</v>
      </c>
      <c r="AA48" s="138" t="s">
        <v>144</v>
      </c>
      <c r="AB48" s="138" t="s">
        <v>144</v>
      </c>
      <c r="AC48" s="243">
        <v>5</v>
      </c>
      <c r="AD48" s="215" t="str">
        <f>IF(S48=1,"L",IF(AND(1&lt;S48,S48&lt;=3),INDEX(AP!$B$41:$L$51,MATCH(算分!Z48,AP!$B$41:$B$51,1),MATCH(算分!AC48,AP!$B$41:$L$41,1)),IF(AND(3&lt;S48,S48&lt;=6),INDEX(AP!$B$28:$L$38,MATCH(算分!Z48,AP!$B$28:$B$38,1),MATCH(算分!AC48,AP!$B$28:$L$28,1)),IF(AND(6&lt;S48,S48&lt;=8),INDEX(AP!$B$15:$L$25,MATCH(算分!Z48,AP!$B$15:$B$25,1),MATCH(算分!AC48,AP!$B$15:$L$15,1)),IF(AND(8&lt;S48,S48&lt;=10),INDEX(AP!$B$2:$L$12,MATCH(算分!Z48,AP!$B$2:$B$12,1),MATCH(算分!AC48,AP!$B$2:$L$2,1)),"")))))</f>
        <v>L</v>
      </c>
      <c r="AH48" s="253">
        <v>36</v>
      </c>
      <c r="AI48" s="253">
        <v>36</v>
      </c>
    </row>
    <row r="49" spans="19:35" ht="191.25">
      <c r="S49" s="223">
        <v>5</v>
      </c>
      <c r="X49" s="224" t="s">
        <v>145</v>
      </c>
      <c r="Y49" s="224" t="s">
        <v>145</v>
      </c>
      <c r="Z49" s="244">
        <v>4</v>
      </c>
      <c r="AA49" s="138" t="s">
        <v>146</v>
      </c>
      <c r="AB49" s="138" t="s">
        <v>146</v>
      </c>
      <c r="AC49" s="245">
        <v>5</v>
      </c>
      <c r="AD49" s="215" t="str">
        <f>IF(S49=1,"L",IF(AND(1&lt;S49,S49&lt;=3),INDEX(AP!$B$41:$L$51,MATCH(算分!Z49,AP!$B$41:$B$51,1),MATCH(算分!AC49,AP!$B$41:$L$41,1)),IF(AND(3&lt;S49,S49&lt;=6),INDEX(AP!$B$28:$L$38,MATCH(算分!Z49,AP!$B$28:$B$38,1),MATCH(算分!AC49,AP!$B$28:$L$28,1)),IF(AND(6&lt;S49,S49&lt;=8),INDEX(AP!$B$15:$L$25,MATCH(算分!Z49,AP!$B$15:$B$25,1),MATCH(算分!AC49,AP!$B$15:$L$15,1)),IF(AND(8&lt;S49,S49&lt;=10),INDEX(AP!$B$2:$L$12,MATCH(算分!Z49,AP!$B$2:$B$12,1),MATCH(算分!AC49,AP!$B$2:$L$2,1)),"")))))</f>
        <v>L</v>
      </c>
      <c r="AH49" s="251">
        <v>37</v>
      </c>
      <c r="AI49" s="251">
        <v>37</v>
      </c>
    </row>
    <row r="50" spans="19:35" ht="101.25">
      <c r="S50" s="223">
        <v>5</v>
      </c>
      <c r="X50" s="138" t="s">
        <v>147</v>
      </c>
      <c r="Y50" s="138" t="s">
        <v>147</v>
      </c>
      <c r="Z50" s="244">
        <v>4</v>
      </c>
      <c r="AA50" s="138" t="s">
        <v>148</v>
      </c>
      <c r="AB50" s="138" t="s">
        <v>148</v>
      </c>
      <c r="AC50" s="243">
        <v>5</v>
      </c>
      <c r="AD50" s="215" t="str">
        <f>IF(S50=1,"L",IF(AND(1&lt;S50,S50&lt;=3),INDEX(AP!$B$41:$L$51,MATCH(算分!Z50,AP!$B$41:$B$51,1),MATCH(算分!AC50,AP!$B$41:$L$41,1)),IF(AND(3&lt;S50,S50&lt;=6),INDEX(AP!$B$28:$L$38,MATCH(算分!Z50,AP!$B$28:$B$38,1),MATCH(算分!AC50,AP!$B$28:$L$28,1)),IF(AND(6&lt;S50,S50&lt;=8),INDEX(AP!$B$15:$L$25,MATCH(算分!Z50,AP!$B$15:$B$25,1),MATCH(算分!AC50,AP!$B$15:$L$15,1)),IF(AND(8&lt;S50,S50&lt;=10),INDEX(AP!$B$2:$L$12,MATCH(算分!Z50,AP!$B$2:$B$12,1),MATCH(算分!AC50,AP!$B$2:$L$2,1)),"")))))</f>
        <v>L</v>
      </c>
      <c r="AH50" s="253">
        <v>38</v>
      </c>
      <c r="AI50" s="253">
        <v>38</v>
      </c>
    </row>
    <row r="51" spans="19:35" ht="78.75">
      <c r="S51" s="222">
        <v>5</v>
      </c>
      <c r="X51" s="144" t="s">
        <v>149</v>
      </c>
      <c r="Y51" s="144" t="s">
        <v>149</v>
      </c>
      <c r="Z51" s="240">
        <v>2</v>
      </c>
      <c r="AA51" s="144" t="s">
        <v>150</v>
      </c>
      <c r="AB51" s="144" t="s">
        <v>150</v>
      </c>
      <c r="AC51" s="241">
        <v>4</v>
      </c>
      <c r="AD51" s="215" t="str">
        <f>IF(S51=1,"L",IF(AND(1&lt;S51,S51&lt;=3),INDEX(AP!$B$41:$L$51,MATCH(算分!Z51,AP!$B$41:$B$51,1),MATCH(算分!AC51,AP!$B$41:$L$41,1)),IF(AND(3&lt;S51,S51&lt;=6),INDEX(AP!$B$28:$L$38,MATCH(算分!Z51,AP!$B$28:$B$38,1),MATCH(算分!AC51,AP!$B$28:$L$28,1)),IF(AND(6&lt;S51,S51&lt;=8),INDEX(AP!$B$15:$L$25,MATCH(算分!Z51,AP!$B$15:$B$25,1),MATCH(算分!AC51,AP!$B$15:$L$15,1)),IF(AND(8&lt;S51,S51&lt;=10),INDEX(AP!$B$2:$L$12,MATCH(算分!Z51,AP!$B$2:$B$12,1),MATCH(算分!AC51,AP!$B$2:$L$2,1)),"")))))</f>
        <v>L</v>
      </c>
      <c r="AH51" s="251">
        <v>39</v>
      </c>
      <c r="AI51" s="251">
        <v>39</v>
      </c>
    </row>
    <row r="52" spans="19:35" ht="101.25">
      <c r="S52" s="222">
        <v>5</v>
      </c>
      <c r="X52" s="144" t="s">
        <v>147</v>
      </c>
      <c r="Y52" s="144" t="s">
        <v>147</v>
      </c>
      <c r="Z52" s="240">
        <v>4</v>
      </c>
      <c r="AA52" s="144" t="s">
        <v>148</v>
      </c>
      <c r="AB52" s="144" t="s">
        <v>148</v>
      </c>
      <c r="AC52" s="241">
        <v>4</v>
      </c>
      <c r="AD52" s="215" t="str">
        <f>IF(S52=1,"L",IF(AND(1&lt;S52,S52&lt;=3),INDEX(AP!$B$41:$L$51,MATCH(算分!Z52,AP!$B$41:$B$51,1),MATCH(算分!AC52,AP!$B$41:$L$41,1)),IF(AND(3&lt;S52,S52&lt;=6),INDEX(AP!$B$28:$L$38,MATCH(算分!Z52,AP!$B$28:$B$38,1),MATCH(算分!AC52,AP!$B$28:$L$28,1)),IF(AND(6&lt;S52,S52&lt;=8),INDEX(AP!$B$15:$L$25,MATCH(算分!Z52,AP!$B$15:$B$25,1),MATCH(算分!AC52,AP!$B$15:$L$15,1)),IF(AND(8&lt;S52,S52&lt;=10),INDEX(AP!$B$2:$L$12,MATCH(算分!Z52,AP!$B$2:$B$12,1),MATCH(算分!AC52,AP!$B$2:$L$2,1)),"")))))</f>
        <v>L</v>
      </c>
      <c r="AH52" s="253">
        <v>40</v>
      </c>
      <c r="AI52" s="253">
        <v>40</v>
      </c>
    </row>
    <row r="53" spans="19:35" ht="56.25">
      <c r="S53" s="225">
        <v>7</v>
      </c>
      <c r="X53" s="119" t="s">
        <v>151</v>
      </c>
      <c r="Y53" s="119" t="s">
        <v>151</v>
      </c>
      <c r="Z53" s="233">
        <v>2</v>
      </c>
      <c r="AA53" s="102" t="s">
        <v>152</v>
      </c>
      <c r="AB53" s="102" t="s">
        <v>152</v>
      </c>
      <c r="AC53" s="233">
        <v>4</v>
      </c>
      <c r="AD53" s="215" t="str">
        <f>IF(S53=1,"L",IF(AND(1&lt;S53,S53&lt;=3),INDEX(AP!$B$41:$L$51,MATCH(算分!Z53,AP!$B$41:$B$51,1),MATCH(算分!AC53,AP!$B$41:$L$41,1)),IF(AND(3&lt;S53,S53&lt;=6),INDEX(AP!$B$28:$L$38,MATCH(算分!Z53,AP!$B$28:$B$38,1),MATCH(算分!AC53,AP!$B$28:$L$28,1)),IF(AND(6&lt;S53,S53&lt;=8),INDEX(AP!$B$15:$L$25,MATCH(算分!Z53,AP!$B$15:$B$25,1),MATCH(算分!AC53,AP!$B$15:$L$15,1)),IF(AND(8&lt;S53,S53&lt;=10),INDEX(AP!$B$2:$L$12,MATCH(算分!Z53,AP!$B$2:$B$12,1),MATCH(算分!AC53,AP!$B$2:$L$2,1)),"")))))</f>
        <v>L</v>
      </c>
      <c r="AH53" s="251">
        <v>41</v>
      </c>
      <c r="AI53" s="251">
        <v>41</v>
      </c>
    </row>
    <row r="54" spans="19:35" ht="126.75">
      <c r="S54" s="226">
        <v>7</v>
      </c>
      <c r="X54" s="123" t="s">
        <v>153</v>
      </c>
      <c r="Y54" s="123" t="s">
        <v>153</v>
      </c>
      <c r="Z54" s="246">
        <v>2</v>
      </c>
      <c r="AA54" s="155" t="s">
        <v>114</v>
      </c>
      <c r="AB54" s="155" t="s">
        <v>114</v>
      </c>
      <c r="AC54" s="246">
        <v>4</v>
      </c>
      <c r="AD54" s="215" t="str">
        <f>IF(S54=1,"L",IF(AND(1&lt;S54,S54&lt;=3),INDEX(AP!$B$41:$L$51,MATCH(算分!Z54,AP!$B$41:$B$51,1),MATCH(算分!AC54,AP!$B$41:$L$41,1)),IF(AND(3&lt;S54,S54&lt;=6),INDEX(AP!$B$28:$L$38,MATCH(算分!Z54,AP!$B$28:$B$38,1),MATCH(算分!AC54,AP!$B$28:$L$28,1)),IF(AND(6&lt;S54,S54&lt;=8),INDEX(AP!$B$15:$L$25,MATCH(算分!Z54,AP!$B$15:$B$25,1),MATCH(算分!AC54,AP!$B$15:$L$15,1)),IF(AND(8&lt;S54,S54&lt;=10),INDEX(AP!$B$2:$L$12,MATCH(算分!Z54,AP!$B$2:$B$12,1),MATCH(算分!AC54,AP!$B$2:$L$2,1)),"")))))</f>
        <v>L</v>
      </c>
      <c r="AF54" s="326" t="s">
        <v>85</v>
      </c>
      <c r="AG54" s="327"/>
      <c r="AH54" s="253">
        <v>42</v>
      </c>
      <c r="AI54" s="253">
        <v>42</v>
      </c>
    </row>
    <row r="55" spans="19:35" ht="168.75">
      <c r="S55" s="226">
        <v>3</v>
      </c>
      <c r="X55" s="122" t="s">
        <v>154</v>
      </c>
      <c r="Y55" s="122" t="s">
        <v>154</v>
      </c>
      <c r="Z55" s="246">
        <v>3</v>
      </c>
      <c r="AA55" s="155" t="s">
        <v>155</v>
      </c>
      <c r="AB55" s="155" t="s">
        <v>155</v>
      </c>
      <c r="AC55" s="246">
        <v>4</v>
      </c>
      <c r="AD55" s="215" t="str">
        <f>IF(S55=1,"L",IF(AND(1&lt;S55,S55&lt;=3),INDEX(AP!$B$41:$L$51,MATCH(算分!Z55,AP!$B$41:$B$51,1),MATCH(算分!AC55,AP!$B$41:$L$41,1)),IF(AND(3&lt;S55,S55&lt;=6),INDEX(AP!$B$28:$L$38,MATCH(算分!Z55,AP!$B$28:$B$38,1),MATCH(算分!AC55,AP!$B$28:$L$28,1)),IF(AND(6&lt;S55,S55&lt;=8),INDEX(AP!$B$15:$L$25,MATCH(算分!Z55,AP!$B$15:$B$25,1),MATCH(算分!AC55,AP!$B$15:$L$15,1)),IF(AND(8&lt;S55,S55&lt;=10),INDEX(AP!$B$2:$L$12,MATCH(算分!Z55,AP!$B$2:$B$12,1),MATCH(算分!AC55,AP!$B$2:$L$2,1)),"")))))</f>
        <v>L</v>
      </c>
      <c r="AH55" s="251">
        <v>43</v>
      </c>
      <c r="AI55" s="251">
        <v>43</v>
      </c>
    </row>
    <row r="56" spans="19:35" ht="168.75">
      <c r="S56" s="226">
        <v>3</v>
      </c>
      <c r="X56" s="122" t="s">
        <v>154</v>
      </c>
      <c r="Y56" s="122" t="s">
        <v>154</v>
      </c>
      <c r="Z56" s="246">
        <v>3</v>
      </c>
      <c r="AA56" s="155" t="s">
        <v>155</v>
      </c>
      <c r="AB56" s="155" t="s">
        <v>155</v>
      </c>
      <c r="AC56" s="246">
        <v>4</v>
      </c>
      <c r="AD56" s="215" t="str">
        <f>IF(S56=1,"L",IF(AND(1&lt;S56,S56&lt;=3),INDEX(AP!$B$41:$L$51,MATCH(算分!Z56,AP!$B$41:$B$51,1),MATCH(算分!AC56,AP!$B$41:$L$41,1)),IF(AND(3&lt;S56,S56&lt;=6),INDEX(AP!$B$28:$L$38,MATCH(算分!Z56,AP!$B$28:$B$38,1),MATCH(算分!AC56,AP!$B$28:$L$28,1)),IF(AND(6&lt;S56,S56&lt;=8),INDEX(AP!$B$15:$L$25,MATCH(算分!Z56,AP!$B$15:$B$25,1),MATCH(算分!AC56,AP!$B$15:$L$15,1)),IF(AND(8&lt;S56,S56&lt;=10),INDEX(AP!$B$2:$L$12,MATCH(算分!Z56,AP!$B$2:$B$12,1),MATCH(算分!AC56,AP!$B$2:$L$2,1)),"")))))</f>
        <v>L</v>
      </c>
      <c r="AH56" s="253">
        <v>44</v>
      </c>
      <c r="AI56" s="253">
        <v>44</v>
      </c>
    </row>
    <row r="57" spans="19:35" ht="67.5">
      <c r="S57" s="226">
        <v>3</v>
      </c>
      <c r="X57" s="125" t="s">
        <v>156</v>
      </c>
      <c r="Y57" s="125" t="s">
        <v>156</v>
      </c>
      <c r="Z57" s="246">
        <v>3</v>
      </c>
      <c r="AA57" s="125" t="s">
        <v>157</v>
      </c>
      <c r="AB57" s="125" t="s">
        <v>157</v>
      </c>
      <c r="AC57" s="246">
        <v>4</v>
      </c>
      <c r="AD57" s="215" t="str">
        <f>IF(S57=1,"L",IF(AND(1&lt;S57,S57&lt;=3),INDEX(AP!$B$41:$L$51,MATCH(算分!Z57,AP!$B$41:$B$51,1),MATCH(算分!AC57,AP!$B$41:$L$41,1)),IF(AND(3&lt;S57,S57&lt;=6),INDEX(AP!$B$28:$L$38,MATCH(算分!Z57,AP!$B$28:$B$38,1),MATCH(算分!AC57,AP!$B$28:$L$28,1)),IF(AND(6&lt;S57,S57&lt;=8),INDEX(AP!$B$15:$L$25,MATCH(算分!Z57,AP!$B$15:$B$25,1),MATCH(算分!AC57,AP!$B$15:$L$15,1)),IF(AND(8&lt;S57,S57&lt;=10),INDEX(AP!$B$2:$L$12,MATCH(算分!Z57,AP!$B$2:$B$12,1),MATCH(算分!AC57,AP!$B$2:$L$2,1)),"")))))</f>
        <v>L</v>
      </c>
      <c r="AH57" s="251">
        <v>45</v>
      </c>
      <c r="AI57" s="251">
        <v>45</v>
      </c>
    </row>
    <row r="58" spans="19:35" ht="90">
      <c r="S58" s="227">
        <v>7</v>
      </c>
      <c r="X58" s="127" t="s">
        <v>158</v>
      </c>
      <c r="Y58" s="127" t="s">
        <v>158</v>
      </c>
      <c r="Z58" s="247">
        <v>2</v>
      </c>
      <c r="AA58" s="125" t="s">
        <v>159</v>
      </c>
      <c r="AB58" s="125" t="s">
        <v>159</v>
      </c>
      <c r="AC58" s="247">
        <v>4</v>
      </c>
      <c r="AD58" s="215" t="str">
        <f>IF(S58=1,"L",IF(AND(1&lt;S58,S58&lt;=3),INDEX(AP!$B$41:$L$51,MATCH(算分!Z58,AP!$B$41:$B$51,1),MATCH(算分!AC58,AP!$B$41:$L$41,1)),IF(AND(3&lt;S58,S58&lt;=6),INDEX(AP!$B$28:$L$38,MATCH(算分!Z58,AP!$B$28:$B$38,1),MATCH(算分!AC58,AP!$B$28:$L$28,1)),IF(AND(6&lt;S58,S58&lt;=8),INDEX(AP!$B$15:$L$25,MATCH(算分!Z58,AP!$B$15:$B$25,1),MATCH(算分!AC58,AP!$B$15:$L$15,1)),IF(AND(8&lt;S58,S58&lt;=10),INDEX(AP!$B$2:$L$12,MATCH(算分!Z58,AP!$B$2:$B$12,1),MATCH(算分!AC58,AP!$B$2:$L$2,1)),"")))))</f>
        <v>L</v>
      </c>
      <c r="AH58" s="253">
        <v>46</v>
      </c>
      <c r="AI58" s="253">
        <v>46</v>
      </c>
    </row>
    <row r="59" spans="19:35" ht="45">
      <c r="S59" s="227">
        <v>7</v>
      </c>
      <c r="X59" s="127" t="s">
        <v>160</v>
      </c>
      <c r="Y59" s="127" t="s">
        <v>160</v>
      </c>
      <c r="Z59" s="247">
        <v>2</v>
      </c>
      <c r="AA59" s="125" t="s">
        <v>161</v>
      </c>
      <c r="AB59" s="125" t="s">
        <v>161</v>
      </c>
      <c r="AC59" s="247">
        <v>2</v>
      </c>
      <c r="AD59" s="215" t="str">
        <f>IF(S59=1,"L",IF(AND(1&lt;S59,S59&lt;=3),INDEX(AP!$B$41:$L$51,MATCH(算分!Z59,AP!$B$41:$B$51,1),MATCH(算分!AC59,AP!$B$41:$L$41,1)),IF(AND(3&lt;S59,S59&lt;=6),INDEX(AP!$B$28:$L$38,MATCH(算分!Z59,AP!$B$28:$B$38,1),MATCH(算分!AC59,AP!$B$28:$L$28,1)),IF(AND(6&lt;S59,S59&lt;=8),INDEX(AP!$B$15:$L$25,MATCH(算分!Z59,AP!$B$15:$B$25,1),MATCH(算分!AC59,AP!$B$15:$L$15,1)),IF(AND(8&lt;S59,S59&lt;=10),INDEX(AP!$B$2:$L$12,MATCH(算分!Z59,AP!$B$2:$B$12,1),MATCH(算分!AC59,AP!$B$2:$L$2,1)),"")))))</f>
        <v>L</v>
      </c>
      <c r="AH59" s="251">
        <v>47</v>
      </c>
      <c r="AI59" s="251">
        <v>47</v>
      </c>
    </row>
    <row r="60" spans="19:35" ht="171.4">
      <c r="S60" s="227">
        <v>7</v>
      </c>
      <c r="X60" s="127" t="s">
        <v>162</v>
      </c>
      <c r="Y60" s="127" t="s">
        <v>162</v>
      </c>
      <c r="Z60" s="247">
        <v>2</v>
      </c>
      <c r="AA60" s="125" t="s">
        <v>163</v>
      </c>
      <c r="AB60" s="125" t="s">
        <v>163</v>
      </c>
      <c r="AC60" s="247">
        <v>2</v>
      </c>
      <c r="AD60" s="215" t="str">
        <f>IF(S60=1,"L",IF(AND(1&lt;S60,S60&lt;=3),INDEX(AP!$B$41:$L$51,MATCH(算分!Z60,AP!$B$41:$B$51,1),MATCH(算分!AC60,AP!$B$41:$L$41,1)),IF(AND(3&lt;S60,S60&lt;=6),INDEX(AP!$B$28:$L$38,MATCH(算分!Z60,AP!$B$28:$B$38,1),MATCH(算分!AC60,AP!$B$28:$L$28,1)),IF(AND(6&lt;S60,S60&lt;=8),INDEX(AP!$B$15:$L$25,MATCH(算分!Z60,AP!$B$15:$B$25,1),MATCH(算分!AC60,AP!$B$15:$L$15,1)),IF(AND(8&lt;S60,S60&lt;=10),INDEX(AP!$B$2:$L$12,MATCH(算分!Z60,AP!$B$2:$B$12,1),MATCH(算分!AC60,AP!$B$2:$L$2,1)),"")))))</f>
        <v>L</v>
      </c>
      <c r="AH60" s="253">
        <v>48</v>
      </c>
      <c r="AI60" s="253">
        <v>48</v>
      </c>
    </row>
    <row r="61" spans="19:35" ht="67.5">
      <c r="S61" s="228">
        <v>7</v>
      </c>
      <c r="X61" s="128" t="s">
        <v>164</v>
      </c>
      <c r="Y61" s="128" t="s">
        <v>164</v>
      </c>
      <c r="Z61" s="248">
        <v>3</v>
      </c>
      <c r="AA61" s="128" t="s">
        <v>165</v>
      </c>
      <c r="AB61" s="128" t="s">
        <v>165</v>
      </c>
      <c r="AC61" s="248">
        <v>2</v>
      </c>
      <c r="AD61" s="215" t="str">
        <f>IF(S61=1,"L",IF(AND(1&lt;S61,S61&lt;=3),INDEX(AP!$B$41:$L$51,MATCH(算分!Z61,AP!$B$41:$B$51,1),MATCH(算分!AC61,AP!$B$41:$L$41,1)),IF(AND(3&lt;S61,S61&lt;=6),INDEX(AP!$B$28:$L$38,MATCH(算分!Z61,AP!$B$28:$B$38,1),MATCH(算分!AC61,AP!$B$28:$L$28,1)),IF(AND(6&lt;S61,S61&lt;=8),INDEX(AP!$B$15:$L$25,MATCH(算分!Z61,AP!$B$15:$B$25,1),MATCH(算分!AC61,AP!$B$15:$L$15,1)),IF(AND(8&lt;S61,S61&lt;=10),INDEX(AP!$B$2:$L$12,MATCH(算分!Z61,AP!$B$2:$B$12,1),MATCH(算分!AC61,AP!$B$2:$L$2,1)),"")))))</f>
        <v>L</v>
      </c>
      <c r="AH61" s="251">
        <v>49</v>
      </c>
      <c r="AI61" s="251">
        <v>49</v>
      </c>
    </row>
    <row r="62" spans="19:35" ht="90">
      <c r="S62" s="228">
        <v>7</v>
      </c>
      <c r="X62" s="128" t="s">
        <v>166</v>
      </c>
      <c r="Y62" s="128" t="s">
        <v>166</v>
      </c>
      <c r="Z62" s="248">
        <v>3</v>
      </c>
      <c r="AA62" s="128" t="s">
        <v>165</v>
      </c>
      <c r="AB62" s="128" t="s">
        <v>165</v>
      </c>
      <c r="AC62" s="248">
        <v>2</v>
      </c>
      <c r="AD62" s="215" t="str">
        <f>IF(S62=1,"L",IF(AND(1&lt;S62,S62&lt;=3),INDEX(AP!$B$41:$L$51,MATCH(算分!Z62,AP!$B$41:$B$51,1),MATCH(算分!AC62,AP!$B$41:$L$41,1)),IF(AND(3&lt;S62,S62&lt;=6),INDEX(AP!$B$28:$L$38,MATCH(算分!Z62,AP!$B$28:$B$38,1),MATCH(算分!AC62,AP!$B$28:$L$28,1)),IF(AND(6&lt;S62,S62&lt;=8),INDEX(AP!$B$15:$L$25,MATCH(算分!Z62,AP!$B$15:$B$25,1),MATCH(算分!AC62,AP!$B$15:$L$15,1)),IF(AND(8&lt;S62,S62&lt;=10),INDEX(AP!$B$2:$L$12,MATCH(算分!Z62,AP!$B$2:$B$12,1),MATCH(算分!AC62,AP!$B$2:$L$2,1)),"")))))</f>
        <v>L</v>
      </c>
      <c r="AH62" s="253">
        <v>50</v>
      </c>
      <c r="AI62" s="253">
        <v>50</v>
      </c>
    </row>
    <row r="63" spans="19:35" ht="56.25">
      <c r="S63" s="228">
        <v>7</v>
      </c>
      <c r="X63" s="128" t="s">
        <v>167</v>
      </c>
      <c r="Y63" s="128" t="s">
        <v>167</v>
      </c>
      <c r="Z63" s="248">
        <v>3</v>
      </c>
      <c r="AA63" s="128" t="s">
        <v>165</v>
      </c>
      <c r="AB63" s="128" t="s">
        <v>165</v>
      </c>
      <c r="AC63" s="248">
        <v>2</v>
      </c>
      <c r="AD63" s="215" t="str">
        <f>IF(S63=1,"L",IF(AND(1&lt;S63,S63&lt;=3),INDEX(AP!$B$41:$L$51,MATCH(算分!Z63,AP!$B$41:$B$51,1),MATCH(算分!AC63,AP!$B$41:$L$41,1)),IF(AND(3&lt;S63,S63&lt;=6),INDEX(AP!$B$28:$L$38,MATCH(算分!Z63,AP!$B$28:$B$38,1),MATCH(算分!AC63,AP!$B$28:$L$28,1)),IF(AND(6&lt;S63,S63&lt;=8),INDEX(AP!$B$15:$L$25,MATCH(算分!Z63,AP!$B$15:$B$25,1),MATCH(算分!AC63,AP!$B$15:$L$15,1)),IF(AND(8&lt;S63,S63&lt;=10),INDEX(AP!$B$2:$L$12,MATCH(算分!Z63,AP!$B$2:$B$12,1),MATCH(算分!AC63,AP!$B$2:$L$2,1)),"")))))</f>
        <v>L</v>
      </c>
      <c r="AH63" s="251">
        <v>51</v>
      </c>
      <c r="AI63" s="251">
        <v>51</v>
      </c>
    </row>
    <row r="64" spans="19:35" ht="78.75">
      <c r="S64" s="228">
        <v>7</v>
      </c>
      <c r="X64" s="129" t="s">
        <v>168</v>
      </c>
      <c r="Y64" s="129" t="s">
        <v>168</v>
      </c>
      <c r="Z64" s="248">
        <v>1</v>
      </c>
      <c r="AA64" s="128" t="s">
        <v>169</v>
      </c>
      <c r="AB64" s="128" t="s">
        <v>169</v>
      </c>
      <c r="AC64" s="248">
        <v>4</v>
      </c>
      <c r="AD64" s="215" t="str">
        <f>IF(S64=1,"L",IF(AND(1&lt;S64,S64&lt;=3),INDEX(AP!$B$41:$L$51,MATCH(算分!Z64,AP!$B$41:$B$51,1),MATCH(算分!AC64,AP!$B$41:$L$41,1)),IF(AND(3&lt;S64,S64&lt;=6),INDEX(AP!$B$28:$L$38,MATCH(算分!Z64,AP!$B$28:$B$38,1),MATCH(算分!AC64,AP!$B$28:$L$28,1)),IF(AND(6&lt;S64,S64&lt;=8),INDEX(AP!$B$15:$L$25,MATCH(算分!Z64,AP!$B$15:$B$25,1),MATCH(算分!AC64,AP!$B$15:$L$15,1)),IF(AND(8&lt;S64,S64&lt;=10),INDEX(AP!$B$2:$L$12,MATCH(算分!Z64,AP!$B$2:$B$12,1),MATCH(算分!AC64,AP!$B$2:$L$2,1)),"")))))</f>
        <v>L</v>
      </c>
      <c r="AF64" s="326" t="s">
        <v>85</v>
      </c>
      <c r="AG64" s="327"/>
      <c r="AH64" s="253">
        <v>52</v>
      </c>
      <c r="AI64" s="253">
        <v>52</v>
      </c>
    </row>
    <row r="65" spans="19:35" ht="123.75">
      <c r="S65" s="228">
        <v>7</v>
      </c>
      <c r="X65" s="129" t="s">
        <v>170</v>
      </c>
      <c r="Y65" s="129" t="s">
        <v>170</v>
      </c>
      <c r="Z65" s="248">
        <v>3</v>
      </c>
      <c r="AA65" s="128" t="s">
        <v>171</v>
      </c>
      <c r="AB65" s="128" t="s">
        <v>171</v>
      </c>
      <c r="AC65" s="248">
        <v>3</v>
      </c>
      <c r="AD65" s="215" t="str">
        <f>IF(S65=1,"L",IF(AND(1&lt;S65,S65&lt;=3),INDEX(AP!$B$41:$L$51,MATCH(算分!Z65,AP!$B$41:$B$51,1),MATCH(算分!AC65,AP!$B$41:$L$41,1)),IF(AND(3&lt;S65,S65&lt;=6),INDEX(AP!$B$28:$L$38,MATCH(算分!Z65,AP!$B$28:$B$38,1),MATCH(算分!AC65,AP!$B$28:$L$28,1)),IF(AND(6&lt;S65,S65&lt;=8),INDEX(AP!$B$15:$L$25,MATCH(算分!Z65,AP!$B$15:$B$25,1),MATCH(算分!AC65,AP!$B$15:$L$15,1)),IF(AND(8&lt;S65,S65&lt;=10),INDEX(AP!$B$2:$L$12,MATCH(算分!Z65,AP!$B$2:$B$12,1),MATCH(算分!AC65,AP!$B$2:$L$2,1)),"")))))</f>
        <v>L</v>
      </c>
      <c r="AH65" s="251">
        <v>53</v>
      </c>
      <c r="AI65" s="251">
        <v>53</v>
      </c>
    </row>
    <row r="66" spans="19:35" ht="146.25">
      <c r="S66" s="228">
        <v>7</v>
      </c>
      <c r="X66" s="129" t="s">
        <v>172</v>
      </c>
      <c r="Y66" s="129" t="s">
        <v>172</v>
      </c>
      <c r="Z66" s="248">
        <v>2</v>
      </c>
      <c r="AA66" s="128" t="s">
        <v>173</v>
      </c>
      <c r="AB66" s="128" t="s">
        <v>173</v>
      </c>
      <c r="AC66" s="248">
        <v>2</v>
      </c>
      <c r="AD66" s="215" t="str">
        <f>IF(S66=1,"L",IF(AND(1&lt;S66,S66&lt;=3),INDEX(AP!$B$41:$L$51,MATCH(算分!Z66,AP!$B$41:$B$51,1),MATCH(算分!AC66,AP!$B$41:$L$41,1)),IF(AND(3&lt;S66,S66&lt;=6),INDEX(AP!$B$28:$L$38,MATCH(算分!Z66,AP!$B$28:$B$38,1),MATCH(算分!AC66,AP!$B$28:$L$28,1)),IF(AND(6&lt;S66,S66&lt;=8),INDEX(AP!$B$15:$L$25,MATCH(算分!Z66,AP!$B$15:$B$25,1),MATCH(算分!AC66,AP!$B$15:$L$15,1)),IF(AND(8&lt;S66,S66&lt;=10),INDEX(AP!$B$2:$L$12,MATCH(算分!Z66,AP!$B$2:$B$12,1),MATCH(算分!AC66,AP!$B$2:$L$2,1)),"")))))</f>
        <v>L</v>
      </c>
      <c r="AH66" s="253">
        <v>54</v>
      </c>
      <c r="AI66" s="253">
        <v>54</v>
      </c>
    </row>
    <row r="67" spans="19:35" ht="90">
      <c r="S67" s="228">
        <v>7</v>
      </c>
      <c r="X67" s="129" t="s">
        <v>174</v>
      </c>
      <c r="Y67" s="129" t="s">
        <v>174</v>
      </c>
      <c r="Z67" s="248">
        <v>2</v>
      </c>
      <c r="AA67" s="128" t="s">
        <v>175</v>
      </c>
      <c r="AB67" s="128" t="s">
        <v>175</v>
      </c>
      <c r="AC67" s="248">
        <v>2</v>
      </c>
      <c r="AD67" s="215" t="str">
        <f>IF(S67=1,"L",IF(AND(1&lt;S67,S67&lt;=3),INDEX(AP!$B$41:$L$51,MATCH(算分!Z67,AP!$B$41:$B$51,1),MATCH(算分!AC67,AP!$B$41:$L$41,1)),IF(AND(3&lt;S67,S67&lt;=6),INDEX(AP!$B$28:$L$38,MATCH(算分!Z67,AP!$B$28:$B$38,1),MATCH(算分!AC67,AP!$B$28:$L$28,1)),IF(AND(6&lt;S67,S67&lt;=8),INDEX(AP!$B$15:$L$25,MATCH(算分!Z67,AP!$B$15:$B$25,1),MATCH(算分!AC67,AP!$B$15:$L$15,1)),IF(AND(8&lt;S67,S67&lt;=10),INDEX(AP!$B$2:$L$12,MATCH(算分!Z67,AP!$B$2:$B$12,1),MATCH(算分!AC67,AP!$B$2:$L$2,1)),"")))))</f>
        <v>L</v>
      </c>
      <c r="AH67" s="251">
        <v>55</v>
      </c>
      <c r="AI67" s="251">
        <v>55</v>
      </c>
    </row>
    <row r="68" spans="19:35" ht="90">
      <c r="S68" s="228">
        <v>7</v>
      </c>
      <c r="X68" s="129" t="s">
        <v>176</v>
      </c>
      <c r="Y68" s="129" t="s">
        <v>176</v>
      </c>
      <c r="Z68" s="248">
        <v>3</v>
      </c>
      <c r="AA68" s="128" t="s">
        <v>177</v>
      </c>
      <c r="AB68" s="128" t="s">
        <v>177</v>
      </c>
      <c r="AC68" s="248">
        <v>2</v>
      </c>
      <c r="AD68" s="215" t="str">
        <f>IF(S68=1,"L",IF(AND(1&lt;S68,S68&lt;=3),INDEX(AP!$B$41:$L$51,MATCH(算分!Z68,AP!$B$41:$B$51,1),MATCH(算分!AC68,AP!$B$41:$L$41,1)),IF(AND(3&lt;S68,S68&lt;=6),INDEX(AP!$B$28:$L$38,MATCH(算分!Z68,AP!$B$28:$B$38,1),MATCH(算分!AC68,AP!$B$28:$L$28,1)),IF(AND(6&lt;S68,S68&lt;=8),INDEX(AP!$B$15:$L$25,MATCH(算分!Z68,AP!$B$15:$B$25,1),MATCH(算分!AC68,AP!$B$15:$L$15,1)),IF(AND(8&lt;S68,S68&lt;=10),INDEX(AP!$B$2:$L$12,MATCH(算分!Z68,AP!$B$2:$B$12,1),MATCH(算分!AC68,AP!$B$2:$L$2,1)),"")))))</f>
        <v>L</v>
      </c>
      <c r="AH68" s="253">
        <v>56</v>
      </c>
      <c r="AI68" s="253">
        <v>56</v>
      </c>
    </row>
    <row r="69" spans="19:35" ht="33.75">
      <c r="S69" s="228">
        <v>7</v>
      </c>
      <c r="X69" s="128" t="s">
        <v>178</v>
      </c>
      <c r="Y69" s="128" t="s">
        <v>178</v>
      </c>
      <c r="Z69" s="248">
        <v>3</v>
      </c>
      <c r="AA69" s="128" t="s">
        <v>179</v>
      </c>
      <c r="AB69" s="128" t="s">
        <v>179</v>
      </c>
      <c r="AC69" s="248">
        <v>2</v>
      </c>
      <c r="AD69" s="215" t="str">
        <f>IF(S69=1,"L",IF(AND(1&lt;S69,S69&lt;=3),INDEX(AP!$B$41:$L$51,MATCH(算分!Z69,AP!$B$41:$B$51,1),MATCH(算分!AC69,AP!$B$41:$L$41,1)),IF(AND(3&lt;S69,S69&lt;=6),INDEX(AP!$B$28:$L$38,MATCH(算分!Z69,AP!$B$28:$B$38,1),MATCH(算分!AC69,AP!$B$28:$L$28,1)),IF(AND(6&lt;S69,S69&lt;=8),INDEX(AP!$B$15:$L$25,MATCH(算分!Z69,AP!$B$15:$B$25,1),MATCH(算分!AC69,AP!$B$15:$L$15,1)),IF(AND(8&lt;S69,S69&lt;=10),INDEX(AP!$B$2:$L$12,MATCH(算分!Z69,AP!$B$2:$B$12,1),MATCH(算分!AC69,AP!$B$2:$L$2,1)),"")))))</f>
        <v>L</v>
      </c>
      <c r="AH69" s="251">
        <v>57</v>
      </c>
      <c r="AI69" s="251">
        <v>57</v>
      </c>
    </row>
    <row r="70" spans="19:35" ht="45">
      <c r="S70" s="228">
        <v>7</v>
      </c>
      <c r="X70" s="128" t="s">
        <v>180</v>
      </c>
      <c r="Y70" s="128" t="s">
        <v>180</v>
      </c>
      <c r="Z70" s="248">
        <v>3</v>
      </c>
      <c r="AA70" s="128" t="s">
        <v>165</v>
      </c>
      <c r="AB70" s="128" t="s">
        <v>165</v>
      </c>
      <c r="AC70" s="248">
        <v>2</v>
      </c>
      <c r="AD70" s="215" t="str">
        <f>IF(S70=1,"L",IF(AND(1&lt;S70,S70&lt;=3),INDEX(AP!$B$41:$L$51,MATCH(算分!Z70,AP!$B$41:$B$51,1),MATCH(算分!AC70,AP!$B$41:$L$41,1)),IF(AND(3&lt;S70,S70&lt;=6),INDEX(AP!$B$28:$L$38,MATCH(算分!Z70,AP!$B$28:$B$38,1),MATCH(算分!AC70,AP!$B$28:$L$28,1)),IF(AND(6&lt;S70,S70&lt;=8),INDEX(AP!$B$15:$L$25,MATCH(算分!Z70,AP!$B$15:$B$25,1),MATCH(算分!AC70,AP!$B$15:$L$15,1)),IF(AND(8&lt;S70,S70&lt;=10),INDEX(AP!$B$2:$L$12,MATCH(算分!Z70,AP!$B$2:$B$12,1),MATCH(算分!AC70,AP!$B$2:$L$2,1)),"")))))</f>
        <v>L</v>
      </c>
      <c r="AH70" s="253">
        <v>58</v>
      </c>
      <c r="AI70" s="253">
        <v>58</v>
      </c>
    </row>
    <row r="71" spans="19:35" ht="67.5">
      <c r="S71" s="260">
        <v>7</v>
      </c>
      <c r="X71" s="128" t="s">
        <v>181</v>
      </c>
      <c r="Y71" s="128" t="s">
        <v>181</v>
      </c>
      <c r="Z71" s="261">
        <v>3</v>
      </c>
      <c r="AA71" s="128" t="s">
        <v>165</v>
      </c>
      <c r="AB71" s="128" t="s">
        <v>165</v>
      </c>
      <c r="AC71" s="248">
        <v>2</v>
      </c>
      <c r="AD71" s="215" t="str">
        <f>IF(S71=1,"L",IF(AND(1&lt;S71,S71&lt;=3),INDEX(AP!$B$41:$L$51,MATCH(算分!Z71,AP!$B$41:$B$51,1),MATCH(算分!AC71,AP!$B$41:$L$41,1)),IF(AND(3&lt;S71,S71&lt;=6),INDEX(AP!$B$28:$L$38,MATCH(算分!Z71,AP!$B$28:$B$38,1),MATCH(算分!AC71,AP!$B$28:$L$28,1)),IF(AND(6&lt;S71,S71&lt;=8),INDEX(AP!$B$15:$L$25,MATCH(算分!Z71,AP!$B$15:$B$25,1),MATCH(算分!AC71,AP!$B$15:$L$15,1)),IF(AND(8&lt;S71,S71&lt;=10),INDEX(AP!$B$2:$L$12,MATCH(算分!Z71,AP!$B$2:$B$12,1),MATCH(算分!AC71,AP!$B$2:$L$2,1)),"")))))</f>
        <v>L</v>
      </c>
      <c r="AH71" s="251">
        <v>59</v>
      </c>
      <c r="AI71" s="251">
        <v>59</v>
      </c>
    </row>
    <row r="72" spans="19:35">
      <c r="S72" s="228">
        <v>7</v>
      </c>
      <c r="Z72" s="262">
        <v>1</v>
      </c>
      <c r="AC72" s="262">
        <v>2</v>
      </c>
      <c r="AD72" s="215" t="str">
        <f>IF(S72=1,"L",IF(AND(1&lt;S72,S72&lt;=3),INDEX(AP!$B$41:$L$51,MATCH(算分!Z72,AP!$B$41:$B$51,1),MATCH(算分!AC72,AP!$B$41:$L$41,1)),IF(AND(3&lt;S72,S72&lt;=6),INDEX(AP!$B$28:$L$38,MATCH(算分!Z72,AP!$B$28:$B$38,1),MATCH(算分!AC72,AP!$B$28:$L$28,1)),IF(AND(6&lt;S72,S72&lt;=8),INDEX(AP!$B$15:$L$25,MATCH(算分!Z72,AP!$B$15:$B$25,1),MATCH(算分!AC72,AP!$B$15:$L$15,1)),IF(AND(8&lt;S72,S72&lt;=10),INDEX(AP!$B$2:$L$12,MATCH(算分!Z72,AP!$B$2:$B$12,1),MATCH(算分!AC72,AP!$B$2:$L$2,1)),"")))))</f>
        <v>L</v>
      </c>
    </row>
    <row r="73" spans="19:35">
      <c r="S73" s="228">
        <v>7</v>
      </c>
      <c r="Z73" s="248">
        <v>2</v>
      </c>
      <c r="AC73" s="248">
        <v>2</v>
      </c>
      <c r="AD73" s="215" t="str">
        <f>IF(S73=1,"L",IF(AND(1&lt;S73,S73&lt;=3),INDEX(AP!$B$41:$L$51,MATCH(算分!Z73,AP!$B$41:$B$51,1),MATCH(算分!AC73,AP!$B$41:$L$41,1)),IF(AND(3&lt;S73,S73&lt;=6),INDEX(AP!$B$28:$L$38,MATCH(算分!Z73,AP!$B$28:$B$38,1),MATCH(算分!AC73,AP!$B$28:$L$28,1)),IF(AND(6&lt;S73,S73&lt;=8),INDEX(AP!$B$15:$L$25,MATCH(算分!Z73,AP!$B$15:$B$25,1),MATCH(算分!AC73,AP!$B$15:$L$15,1)),IF(AND(8&lt;S73,S73&lt;=10),INDEX(AP!$B$2:$L$12,MATCH(算分!Z73,AP!$B$2:$B$12,1),MATCH(算分!AC73,AP!$B$2:$L$2,1)),"")))))</f>
        <v>L</v>
      </c>
    </row>
    <row r="74" spans="19:35">
      <c r="AD74" s="215" t="str">
        <f>IF(S74=1,"L",IF(AND(1&lt;S74,S74&lt;=3),INDEX(AP!$B$41:$L$51,MATCH(算分!Z74,AP!$B$41:$B$51,1),MATCH(算分!AC74,AP!$B$41:$L$41,1)),IF(AND(3&lt;S74,S74&lt;=6),INDEX(AP!$B$28:$L$38,MATCH(算分!Z74,AP!$B$28:$B$38,1),MATCH(算分!AC74,AP!$B$28:$L$28,1)),IF(AND(6&lt;S74,S74&lt;=8),INDEX(AP!$B$15:$L$25,MATCH(算分!Z74,AP!$B$15:$B$25,1),MATCH(算分!AC74,AP!$B$15:$L$15,1)),IF(AND(8&lt;S74,S74&lt;=10),INDEX(AP!$B$2:$L$12,MATCH(算分!Z74,AP!$B$2:$B$12,1),MATCH(算分!AC74,AP!$B$2:$L$2,1)),"")))))</f>
        <v/>
      </c>
    </row>
    <row r="75" spans="19:35">
      <c r="AD75" s="215" t="str">
        <f>IF(S75=1,"L",IF(AND(1&lt;S75,S75&lt;=3),INDEX(AP!$B$41:$L$51,MATCH(算分!Z75,AP!$B$41:$B$51,1),MATCH(算分!AC75,AP!$B$41:$L$41,1)),IF(AND(3&lt;S75,S75&lt;=6),INDEX(AP!$B$28:$L$38,MATCH(算分!Z75,AP!$B$28:$B$38,1),MATCH(算分!AC75,AP!$B$28:$L$28,1)),IF(AND(6&lt;S75,S75&lt;=8),INDEX(AP!$B$15:$L$25,MATCH(算分!Z75,AP!$B$15:$B$25,1),MATCH(算分!AC75,AP!$B$15:$L$15,1)),IF(AND(8&lt;S75,S75&lt;=10),INDEX(AP!$B$2:$L$12,MATCH(算分!Z75,AP!$B$2:$B$12,1),MATCH(算分!AC75,AP!$B$2:$L$2,1)),"")))))</f>
        <v/>
      </c>
    </row>
    <row r="76" spans="19:35">
      <c r="AD76" s="215" t="str">
        <f>IF(S76=1,"L",IF(AND(1&lt;S76,S76&lt;=3),INDEX(AP!$B$41:$L$51,MATCH(算分!Z76,AP!$B$41:$B$51,1),MATCH(算分!AC76,AP!$B$41:$L$41,1)),IF(AND(3&lt;S76,S76&lt;=6),INDEX(AP!$B$28:$L$38,MATCH(算分!Z76,AP!$B$28:$B$38,1),MATCH(算分!AC76,AP!$B$28:$L$28,1)),IF(AND(6&lt;S76,S76&lt;=8),INDEX(AP!$B$15:$L$25,MATCH(算分!Z76,AP!$B$15:$B$25,1),MATCH(算分!AC76,AP!$B$15:$L$15,1)),IF(AND(8&lt;S76,S76&lt;=10),INDEX(AP!$B$2:$L$12,MATCH(算分!Z76,AP!$B$2:$B$12,1),MATCH(算分!AC76,AP!$B$2:$L$2,1)),"")))))</f>
        <v/>
      </c>
    </row>
    <row r="77" spans="19:35">
      <c r="AD77" s="215" t="str">
        <f>IF(S77=1,"L",IF(AND(1&lt;S77,S77&lt;=3),INDEX(AP!$B$41:$L$51,MATCH(算分!Z77,AP!$B$41:$B$51,1),MATCH(算分!AC77,AP!$B$41:$L$41,1)),IF(AND(3&lt;S77,S77&lt;=6),INDEX(AP!$B$28:$L$38,MATCH(算分!Z77,AP!$B$28:$B$38,1),MATCH(算分!AC77,AP!$B$28:$L$28,1)),IF(AND(6&lt;S77,S77&lt;=8),INDEX(AP!$B$15:$L$25,MATCH(算分!Z77,AP!$B$15:$B$25,1),MATCH(算分!AC77,AP!$B$15:$L$15,1)),IF(AND(8&lt;S77,S77&lt;=10),INDEX(AP!$B$2:$L$12,MATCH(算分!Z77,AP!$B$2:$B$12,1),MATCH(算分!AC77,AP!$B$2:$L$2,1)),"")))))</f>
        <v/>
      </c>
    </row>
  </sheetData>
  <mergeCells count="151">
    <mergeCell ref="A1:AT1"/>
    <mergeCell ref="A2:E2"/>
    <mergeCell ref="F2:AT2"/>
    <mergeCell ref="A3:C3"/>
    <mergeCell ref="L3:N3"/>
    <mergeCell ref="A4:C4"/>
    <mergeCell ref="L4:N4"/>
    <mergeCell ref="X4:AD4"/>
    <mergeCell ref="A5:C5"/>
    <mergeCell ref="L5:N5"/>
    <mergeCell ref="A6:C6"/>
    <mergeCell ref="L6:N6"/>
    <mergeCell ref="X6:AT6"/>
    <mergeCell ref="A7:C7"/>
    <mergeCell ref="D7:AR7"/>
    <mergeCell ref="A8:F8"/>
    <mergeCell ref="G8:O8"/>
    <mergeCell ref="P8:W8"/>
    <mergeCell ref="X8:AE8"/>
    <mergeCell ref="AF8:AS8"/>
    <mergeCell ref="A13:B13"/>
    <mergeCell ref="C13:D13"/>
    <mergeCell ref="E13:F13"/>
    <mergeCell ref="G13:I13"/>
    <mergeCell ref="J13:L13"/>
    <mergeCell ref="M13:O13"/>
    <mergeCell ref="P13:R13"/>
    <mergeCell ref="T13:U13"/>
    <mergeCell ref="V13:W13"/>
    <mergeCell ref="AF13:AG13"/>
    <mergeCell ref="AL13:AM13"/>
    <mergeCell ref="A14:B14"/>
    <mergeCell ref="C14:D14"/>
    <mergeCell ref="E14:F14"/>
    <mergeCell ref="G14:I14"/>
    <mergeCell ref="J14:L14"/>
    <mergeCell ref="M14:O14"/>
    <mergeCell ref="P14:R14"/>
    <mergeCell ref="T14:U14"/>
    <mergeCell ref="V14:W14"/>
    <mergeCell ref="AF14:AG14"/>
    <mergeCell ref="AL14:AM14"/>
    <mergeCell ref="A15:B15"/>
    <mergeCell ref="C15:D15"/>
    <mergeCell ref="E15:F15"/>
    <mergeCell ref="G15:I15"/>
    <mergeCell ref="J15:L15"/>
    <mergeCell ref="M15:O15"/>
    <mergeCell ref="P15:R15"/>
    <mergeCell ref="T15:U15"/>
    <mergeCell ref="V15:W15"/>
    <mergeCell ref="AF15:AG15"/>
    <mergeCell ref="AL15:AM15"/>
    <mergeCell ref="A16:B16"/>
    <mergeCell ref="C16:D16"/>
    <mergeCell ref="E16:F16"/>
    <mergeCell ref="G16:I16"/>
    <mergeCell ref="J16:L16"/>
    <mergeCell ref="M16:O16"/>
    <mergeCell ref="P16:R16"/>
    <mergeCell ref="T16:U16"/>
    <mergeCell ref="V16:W16"/>
    <mergeCell ref="AF16:AG16"/>
    <mergeCell ref="AL16:AM16"/>
    <mergeCell ref="A17:B17"/>
    <mergeCell ref="C17:D17"/>
    <mergeCell ref="E17:F17"/>
    <mergeCell ref="G17:I17"/>
    <mergeCell ref="J17:L17"/>
    <mergeCell ref="M17:O17"/>
    <mergeCell ref="P17:R17"/>
    <mergeCell ref="T17:U17"/>
    <mergeCell ref="V17:W17"/>
    <mergeCell ref="AF17:AG17"/>
    <mergeCell ref="AL17:AM17"/>
    <mergeCell ref="A18:B18"/>
    <mergeCell ref="C18:D18"/>
    <mergeCell ref="E18:F18"/>
    <mergeCell ref="G18:I18"/>
    <mergeCell ref="J18:L18"/>
    <mergeCell ref="M18:O18"/>
    <mergeCell ref="P18:R18"/>
    <mergeCell ref="T18:U18"/>
    <mergeCell ref="V18:W18"/>
    <mergeCell ref="AF18:AG18"/>
    <mergeCell ref="AL18:AM18"/>
    <mergeCell ref="A19:B19"/>
    <mergeCell ref="C19:D19"/>
    <mergeCell ref="E19:F19"/>
    <mergeCell ref="G19:I19"/>
    <mergeCell ref="J19:L19"/>
    <mergeCell ref="M19:O19"/>
    <mergeCell ref="P19:R19"/>
    <mergeCell ref="T19:U19"/>
    <mergeCell ref="V19:W19"/>
    <mergeCell ref="AF19:AG19"/>
    <mergeCell ref="AL19:AM19"/>
    <mergeCell ref="AL20:AM20"/>
    <mergeCell ref="AF21:AG21"/>
    <mergeCell ref="A20:B20"/>
    <mergeCell ref="C20:D20"/>
    <mergeCell ref="E20:F20"/>
    <mergeCell ref="G20:I20"/>
    <mergeCell ref="J20:L20"/>
    <mergeCell ref="M20:O20"/>
    <mergeCell ref="AF26:AG26"/>
    <mergeCell ref="AF27:AG27"/>
    <mergeCell ref="AF28:AG28"/>
    <mergeCell ref="AF30:AG30"/>
    <mergeCell ref="P20:R20"/>
    <mergeCell ref="T20:U20"/>
    <mergeCell ref="V20:W20"/>
    <mergeCell ref="AF20:AG20"/>
    <mergeCell ref="AF64:AG64"/>
    <mergeCell ref="S9:S12"/>
    <mergeCell ref="Z9:Z12"/>
    <mergeCell ref="AC9:AC12"/>
    <mergeCell ref="AD9:AD12"/>
    <mergeCell ref="AE9:AE12"/>
    <mergeCell ref="AF32:AG32"/>
    <mergeCell ref="AF33:AG33"/>
    <mergeCell ref="AF35:AG35"/>
    <mergeCell ref="AF37:AG37"/>
    <mergeCell ref="AK9:AK12"/>
    <mergeCell ref="AN9:AN12"/>
    <mergeCell ref="AO9:AO12"/>
    <mergeCell ref="AP9:AP12"/>
    <mergeCell ref="AQ9:AQ12"/>
    <mergeCell ref="AF54:AG54"/>
    <mergeCell ref="AF40:AG40"/>
    <mergeCell ref="AF41:AG41"/>
    <mergeCell ref="AF22:AG22"/>
    <mergeCell ref="AF24:AG24"/>
    <mergeCell ref="AR9:AR12"/>
    <mergeCell ref="AS9:AS12"/>
    <mergeCell ref="AT9:AT12"/>
    <mergeCell ref="T9:U12"/>
    <mergeCell ref="V9:W12"/>
    <mergeCell ref="X9:Y12"/>
    <mergeCell ref="AF9:AG12"/>
    <mergeCell ref="AH9:AI12"/>
    <mergeCell ref="AL9:AM12"/>
    <mergeCell ref="AJ9:AJ12"/>
    <mergeCell ref="A9:B12"/>
    <mergeCell ref="C9:D12"/>
    <mergeCell ref="E9:F12"/>
    <mergeCell ref="AA9:AB12"/>
    <mergeCell ref="G9:I12"/>
    <mergeCell ref="J9:L12"/>
    <mergeCell ref="M9:O12"/>
    <mergeCell ref="P9:R12"/>
  </mergeCells>
  <phoneticPr fontId="23" type="noConversion"/>
  <pageMargins left="0.23622047244094491" right="0.23622047244094491" top="0.74803149606299213" bottom="0.74803149606299213" header="0.31496062992125984" footer="0.31496062992125984"/>
  <pageSetup paperSize="8" scale="66" fitToHeight="0" orientation="landscape" horizontalDpi="1200" verticalDpi="1200" r:id="rId1"/>
  <headerFooter>
    <oddFooter xml:space="preserve">&amp;L编制部门：工程研究院
注意：公司OA系统中已发布的记录模板是有效版本。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E57D5-3F86-4D2A-ACDB-2A7743278A58}">
  <dimension ref="A1:L54"/>
  <sheetViews>
    <sheetView topLeftCell="A5" workbookViewId="0">
      <selection activeCell="N6" sqref="N6"/>
    </sheetView>
  </sheetViews>
  <sheetFormatPr defaultColWidth="8.86328125" defaultRowHeight="13.5"/>
  <cols>
    <col min="1" max="1" width="6.265625" customWidth="1"/>
    <col min="2" max="2" width="8.46484375" customWidth="1"/>
    <col min="3" max="12" width="5.59765625" customWidth="1"/>
  </cols>
  <sheetData>
    <row r="1" spans="1:12" ht="26.25" customHeight="1">
      <c r="E1" s="200" t="s">
        <v>182</v>
      </c>
    </row>
    <row r="2" spans="1:12" ht="30" customHeight="1">
      <c r="A2" s="201" t="s">
        <v>183</v>
      </c>
      <c r="B2" s="202" t="s">
        <v>184</v>
      </c>
      <c r="C2" s="201">
        <v>1</v>
      </c>
      <c r="D2" s="201">
        <v>2</v>
      </c>
      <c r="E2" s="201">
        <v>3</v>
      </c>
      <c r="F2" s="201">
        <v>4</v>
      </c>
      <c r="G2" s="201">
        <v>5</v>
      </c>
      <c r="H2" s="201">
        <v>6</v>
      </c>
      <c r="I2" s="201">
        <v>7</v>
      </c>
      <c r="J2" s="201">
        <v>8</v>
      </c>
      <c r="K2" s="201">
        <v>9</v>
      </c>
      <c r="L2" s="201">
        <v>10</v>
      </c>
    </row>
    <row r="3" spans="1:12" ht="18" customHeight="1">
      <c r="A3" s="366" t="s">
        <v>185</v>
      </c>
      <c r="B3" s="203">
        <v>1</v>
      </c>
      <c r="C3" s="204" t="s">
        <v>78</v>
      </c>
      <c r="D3" s="204" t="s">
        <v>78</v>
      </c>
      <c r="E3" s="204" t="s">
        <v>78</v>
      </c>
      <c r="F3" s="204" t="s">
        <v>78</v>
      </c>
      <c r="G3" s="204" t="s">
        <v>78</v>
      </c>
      <c r="H3" s="204" t="s">
        <v>78</v>
      </c>
      <c r="I3" s="204" t="s">
        <v>78</v>
      </c>
      <c r="J3" s="204" t="s">
        <v>78</v>
      </c>
      <c r="K3" s="204" t="s">
        <v>78</v>
      </c>
      <c r="L3" s="204" t="s">
        <v>78</v>
      </c>
    </row>
    <row r="4" spans="1:12" ht="17.25">
      <c r="A4" s="366"/>
      <c r="B4" s="203">
        <v>2</v>
      </c>
      <c r="C4" s="204" t="s">
        <v>78</v>
      </c>
      <c r="D4" s="204" t="s">
        <v>78</v>
      </c>
      <c r="E4" s="204" t="s">
        <v>78</v>
      </c>
      <c r="F4" s="204" t="s">
        <v>78</v>
      </c>
      <c r="G4" s="205" t="s">
        <v>186</v>
      </c>
      <c r="H4" s="205" t="s">
        <v>186</v>
      </c>
      <c r="I4" s="206" t="s">
        <v>187</v>
      </c>
      <c r="J4" s="206" t="s">
        <v>187</v>
      </c>
      <c r="K4" s="206" t="s">
        <v>187</v>
      </c>
      <c r="L4" s="206" t="s">
        <v>187</v>
      </c>
    </row>
    <row r="5" spans="1:12" ht="17.25">
      <c r="A5" s="366"/>
      <c r="B5" s="203">
        <v>3</v>
      </c>
      <c r="C5" s="204" t="s">
        <v>78</v>
      </c>
      <c r="D5" s="204" t="s">
        <v>78</v>
      </c>
      <c r="E5" s="204" t="s">
        <v>78</v>
      </c>
      <c r="F5" s="204" t="s">
        <v>78</v>
      </c>
      <c r="G5" s="205" t="s">
        <v>186</v>
      </c>
      <c r="H5" s="205" t="s">
        <v>186</v>
      </c>
      <c r="I5" s="206" t="s">
        <v>187</v>
      </c>
      <c r="J5" s="206" t="s">
        <v>187</v>
      </c>
      <c r="K5" s="206" t="s">
        <v>187</v>
      </c>
      <c r="L5" s="206" t="s">
        <v>187</v>
      </c>
    </row>
    <row r="6" spans="1:12" ht="17.25">
      <c r="A6" s="366"/>
      <c r="B6" s="203">
        <v>4</v>
      </c>
      <c r="C6" s="205" t="s">
        <v>186</v>
      </c>
      <c r="D6" s="206" t="s">
        <v>187</v>
      </c>
      <c r="E6" s="206" t="s">
        <v>187</v>
      </c>
      <c r="F6" s="206" t="s">
        <v>187</v>
      </c>
      <c r="G6" s="206" t="s">
        <v>187</v>
      </c>
      <c r="H6" s="206" t="s">
        <v>187</v>
      </c>
      <c r="I6" s="206" t="s">
        <v>187</v>
      </c>
      <c r="J6" s="206" t="s">
        <v>187</v>
      </c>
      <c r="K6" s="206" t="s">
        <v>187</v>
      </c>
      <c r="L6" s="206" t="s">
        <v>187</v>
      </c>
    </row>
    <row r="7" spans="1:12" ht="17.25">
      <c r="A7" s="366"/>
      <c r="B7" s="203">
        <v>5</v>
      </c>
      <c r="C7" s="205" t="s">
        <v>186</v>
      </c>
      <c r="D7" s="206" t="s">
        <v>187</v>
      </c>
      <c r="E7" s="206" t="s">
        <v>187</v>
      </c>
      <c r="F7" s="206" t="s">
        <v>187</v>
      </c>
      <c r="G7" s="206" t="s">
        <v>187</v>
      </c>
      <c r="H7" s="206" t="s">
        <v>187</v>
      </c>
      <c r="I7" s="206" t="s">
        <v>187</v>
      </c>
      <c r="J7" s="206" t="s">
        <v>187</v>
      </c>
      <c r="K7" s="206" t="s">
        <v>187</v>
      </c>
      <c r="L7" s="206" t="s">
        <v>187</v>
      </c>
    </row>
    <row r="8" spans="1:12" ht="17.25">
      <c r="A8" s="366"/>
      <c r="B8" s="203">
        <v>6</v>
      </c>
      <c r="C8" s="206" t="s">
        <v>187</v>
      </c>
      <c r="D8" s="206" t="s">
        <v>187</v>
      </c>
      <c r="E8" s="206" t="s">
        <v>187</v>
      </c>
      <c r="F8" s="206" t="s">
        <v>187</v>
      </c>
      <c r="G8" s="206" t="s">
        <v>187</v>
      </c>
      <c r="H8" s="206" t="s">
        <v>187</v>
      </c>
      <c r="I8" s="206" t="s">
        <v>187</v>
      </c>
      <c r="J8" s="206" t="s">
        <v>187</v>
      </c>
      <c r="K8" s="206" t="s">
        <v>187</v>
      </c>
      <c r="L8" s="206" t="s">
        <v>187</v>
      </c>
    </row>
    <row r="9" spans="1:12" ht="17.25">
      <c r="A9" s="366"/>
      <c r="B9" s="203">
        <v>7</v>
      </c>
      <c r="C9" s="206" t="s">
        <v>187</v>
      </c>
      <c r="D9" s="206" t="s">
        <v>187</v>
      </c>
      <c r="E9" s="206" t="s">
        <v>187</v>
      </c>
      <c r="F9" s="206" t="s">
        <v>187</v>
      </c>
      <c r="G9" s="206" t="s">
        <v>187</v>
      </c>
      <c r="H9" s="206" t="s">
        <v>187</v>
      </c>
      <c r="I9" s="206" t="s">
        <v>187</v>
      </c>
      <c r="J9" s="206" t="s">
        <v>187</v>
      </c>
      <c r="K9" s="206" t="s">
        <v>187</v>
      </c>
      <c r="L9" s="206" t="s">
        <v>187</v>
      </c>
    </row>
    <row r="10" spans="1:12" ht="17.25">
      <c r="A10" s="366"/>
      <c r="B10" s="203">
        <v>8</v>
      </c>
      <c r="C10" s="206" t="s">
        <v>187</v>
      </c>
      <c r="D10" s="206" t="s">
        <v>187</v>
      </c>
      <c r="E10" s="206" t="s">
        <v>187</v>
      </c>
      <c r="F10" s="206" t="s">
        <v>187</v>
      </c>
      <c r="G10" s="206" t="s">
        <v>187</v>
      </c>
      <c r="H10" s="206" t="s">
        <v>187</v>
      </c>
      <c r="I10" s="206" t="s">
        <v>187</v>
      </c>
      <c r="J10" s="206" t="s">
        <v>187</v>
      </c>
      <c r="K10" s="206" t="s">
        <v>187</v>
      </c>
      <c r="L10" s="206" t="s">
        <v>187</v>
      </c>
    </row>
    <row r="11" spans="1:12" ht="17.25">
      <c r="A11" s="366"/>
      <c r="B11" s="203">
        <v>9</v>
      </c>
      <c r="C11" s="206" t="s">
        <v>187</v>
      </c>
      <c r="D11" s="206" t="s">
        <v>187</v>
      </c>
      <c r="E11" s="206" t="s">
        <v>187</v>
      </c>
      <c r="F11" s="206" t="s">
        <v>187</v>
      </c>
      <c r="G11" s="206" t="s">
        <v>187</v>
      </c>
      <c r="H11" s="206" t="s">
        <v>187</v>
      </c>
      <c r="I11" s="206" t="s">
        <v>187</v>
      </c>
      <c r="J11" s="206" t="s">
        <v>187</v>
      </c>
      <c r="K11" s="206" t="s">
        <v>187</v>
      </c>
      <c r="L11" s="206" t="s">
        <v>187</v>
      </c>
    </row>
    <row r="12" spans="1:12" ht="17.25">
      <c r="A12" s="366"/>
      <c r="B12" s="203">
        <v>10</v>
      </c>
      <c r="C12" s="206" t="s">
        <v>187</v>
      </c>
      <c r="D12" s="206" t="s">
        <v>187</v>
      </c>
      <c r="E12" s="206" t="s">
        <v>187</v>
      </c>
      <c r="F12" s="206" t="s">
        <v>187</v>
      </c>
      <c r="G12" s="206" t="s">
        <v>187</v>
      </c>
      <c r="H12" s="206" t="s">
        <v>187</v>
      </c>
      <c r="I12" s="206" t="s">
        <v>187</v>
      </c>
      <c r="J12" s="206" t="s">
        <v>187</v>
      </c>
      <c r="K12" s="206" t="s">
        <v>187</v>
      </c>
      <c r="L12" s="206" t="s">
        <v>187</v>
      </c>
    </row>
    <row r="14" spans="1:12" ht="17.25">
      <c r="K14" s="208"/>
    </row>
    <row r="15" spans="1:12" ht="27">
      <c r="A15" s="201" t="s">
        <v>183</v>
      </c>
      <c r="B15" s="202" t="s">
        <v>184</v>
      </c>
      <c r="C15" s="201">
        <v>1</v>
      </c>
      <c r="D15" s="201">
        <v>2</v>
      </c>
      <c r="E15" s="201">
        <v>3</v>
      </c>
      <c r="F15" s="201">
        <v>4</v>
      </c>
      <c r="G15" s="201">
        <v>5</v>
      </c>
      <c r="H15" s="201">
        <v>6</v>
      </c>
      <c r="I15" s="201">
        <v>7</v>
      </c>
      <c r="J15" s="201">
        <v>8</v>
      </c>
      <c r="K15" s="201">
        <v>9</v>
      </c>
      <c r="L15" s="201">
        <v>10</v>
      </c>
    </row>
    <row r="16" spans="1:12" ht="17.25">
      <c r="A16" s="366" t="s">
        <v>188</v>
      </c>
      <c r="B16" s="203">
        <v>1</v>
      </c>
      <c r="C16" s="204" t="s">
        <v>78</v>
      </c>
      <c r="D16" s="204" t="s">
        <v>78</v>
      </c>
      <c r="E16" s="204" t="s">
        <v>78</v>
      </c>
      <c r="F16" s="204" t="s">
        <v>78</v>
      </c>
      <c r="G16" s="204" t="s">
        <v>78</v>
      </c>
      <c r="H16" s="204" t="s">
        <v>78</v>
      </c>
      <c r="I16" s="204" t="s">
        <v>78</v>
      </c>
      <c r="J16" s="204" t="s">
        <v>78</v>
      </c>
      <c r="K16" s="204" t="s">
        <v>78</v>
      </c>
      <c r="L16" s="204" t="s">
        <v>78</v>
      </c>
    </row>
    <row r="17" spans="1:12" ht="17.25">
      <c r="A17" s="366"/>
      <c r="B17" s="203">
        <v>2</v>
      </c>
      <c r="C17" s="204" t="s">
        <v>78</v>
      </c>
      <c r="D17" s="204" t="s">
        <v>78</v>
      </c>
      <c r="E17" s="204" t="s">
        <v>78</v>
      </c>
      <c r="F17" s="204" t="s">
        <v>78</v>
      </c>
      <c r="G17" s="205" t="s">
        <v>186</v>
      </c>
      <c r="H17" s="205" t="s">
        <v>186</v>
      </c>
      <c r="I17" s="206" t="s">
        <v>187</v>
      </c>
      <c r="J17" s="206" t="s">
        <v>187</v>
      </c>
      <c r="K17" s="206" t="s">
        <v>187</v>
      </c>
      <c r="L17" s="206" t="s">
        <v>187</v>
      </c>
    </row>
    <row r="18" spans="1:12" ht="17.25">
      <c r="A18" s="366"/>
      <c r="B18" s="203">
        <v>3</v>
      </c>
      <c r="C18" s="204" t="s">
        <v>78</v>
      </c>
      <c r="D18" s="204" t="s">
        <v>78</v>
      </c>
      <c r="E18" s="204" t="s">
        <v>78</v>
      </c>
      <c r="F18" s="204" t="s">
        <v>78</v>
      </c>
      <c r="G18" s="205" t="s">
        <v>186</v>
      </c>
      <c r="H18" s="205" t="s">
        <v>186</v>
      </c>
      <c r="I18" s="206" t="s">
        <v>187</v>
      </c>
      <c r="J18" s="206" t="s">
        <v>187</v>
      </c>
      <c r="K18" s="206" t="s">
        <v>187</v>
      </c>
      <c r="L18" s="206" t="s">
        <v>187</v>
      </c>
    </row>
    <row r="19" spans="1:12" ht="17.25">
      <c r="A19" s="366">
        <v>44020</v>
      </c>
      <c r="B19" s="203">
        <v>4</v>
      </c>
      <c r="C19" s="205" t="s">
        <v>186</v>
      </c>
      <c r="D19" s="205" t="s">
        <v>186</v>
      </c>
      <c r="E19" s="205" t="s">
        <v>186</v>
      </c>
      <c r="F19" s="205" t="s">
        <v>186</v>
      </c>
      <c r="G19" s="205" t="s">
        <v>186</v>
      </c>
      <c r="H19" s="205" t="s">
        <v>186</v>
      </c>
      <c r="I19" s="206" t="s">
        <v>187</v>
      </c>
      <c r="J19" s="206" t="s">
        <v>187</v>
      </c>
      <c r="K19" s="206" t="s">
        <v>187</v>
      </c>
      <c r="L19" s="206" t="s">
        <v>187</v>
      </c>
    </row>
    <row r="20" spans="1:12" ht="17.25">
      <c r="A20" s="366"/>
      <c r="B20" s="203">
        <v>5</v>
      </c>
      <c r="C20" s="205" t="s">
        <v>186</v>
      </c>
      <c r="D20" s="205" t="s">
        <v>186</v>
      </c>
      <c r="E20" s="205" t="s">
        <v>186</v>
      </c>
      <c r="F20" s="205" t="s">
        <v>186</v>
      </c>
      <c r="G20" s="205" t="s">
        <v>186</v>
      </c>
      <c r="H20" s="205" t="s">
        <v>186</v>
      </c>
      <c r="I20" s="206" t="s">
        <v>187</v>
      </c>
      <c r="J20" s="206" t="s">
        <v>187</v>
      </c>
      <c r="K20" s="206" t="s">
        <v>187</v>
      </c>
      <c r="L20" s="206" t="s">
        <v>187</v>
      </c>
    </row>
    <row r="21" spans="1:12" ht="17.25">
      <c r="A21" s="366"/>
      <c r="B21" s="203">
        <v>6</v>
      </c>
      <c r="C21" s="205" t="s">
        <v>186</v>
      </c>
      <c r="D21" s="206" t="s">
        <v>187</v>
      </c>
      <c r="E21" s="206" t="s">
        <v>187</v>
      </c>
      <c r="F21" s="206" t="s">
        <v>187</v>
      </c>
      <c r="G21" s="206" t="s">
        <v>187</v>
      </c>
      <c r="H21" s="206" t="s">
        <v>187</v>
      </c>
      <c r="I21" s="206" t="s">
        <v>187</v>
      </c>
      <c r="J21" s="206" t="s">
        <v>187</v>
      </c>
      <c r="K21" s="206" t="s">
        <v>187</v>
      </c>
      <c r="L21" s="206" t="s">
        <v>187</v>
      </c>
    </row>
    <row r="22" spans="1:12" ht="17.25">
      <c r="A22" s="366"/>
      <c r="B22" s="203">
        <v>7</v>
      </c>
      <c r="C22" s="205" t="s">
        <v>186</v>
      </c>
      <c r="D22" s="206" t="s">
        <v>187</v>
      </c>
      <c r="E22" s="206" t="s">
        <v>187</v>
      </c>
      <c r="F22" s="206" t="s">
        <v>187</v>
      </c>
      <c r="G22" s="206" t="s">
        <v>187</v>
      </c>
      <c r="H22" s="206" t="s">
        <v>187</v>
      </c>
      <c r="I22" s="206" t="s">
        <v>187</v>
      </c>
      <c r="J22" s="206" t="s">
        <v>187</v>
      </c>
      <c r="K22" s="206" t="s">
        <v>187</v>
      </c>
      <c r="L22" s="206" t="s">
        <v>187</v>
      </c>
    </row>
    <row r="23" spans="1:12" ht="17.25">
      <c r="A23" s="366"/>
      <c r="B23" s="203">
        <v>8</v>
      </c>
      <c r="C23" s="206" t="s">
        <v>187</v>
      </c>
      <c r="D23" s="206" t="s">
        <v>187</v>
      </c>
      <c r="E23" s="206" t="s">
        <v>187</v>
      </c>
      <c r="F23" s="206" t="s">
        <v>187</v>
      </c>
      <c r="G23" s="206" t="s">
        <v>187</v>
      </c>
      <c r="H23" s="206" t="s">
        <v>187</v>
      </c>
      <c r="I23" s="206" t="s">
        <v>187</v>
      </c>
      <c r="J23" s="206" t="s">
        <v>187</v>
      </c>
      <c r="K23" s="206" t="s">
        <v>187</v>
      </c>
      <c r="L23" s="206" t="s">
        <v>187</v>
      </c>
    </row>
    <row r="24" spans="1:12" ht="17.25">
      <c r="A24" s="366"/>
      <c r="B24" s="203">
        <v>9</v>
      </c>
      <c r="C24" s="206" t="s">
        <v>187</v>
      </c>
      <c r="D24" s="206" t="s">
        <v>187</v>
      </c>
      <c r="E24" s="206" t="s">
        <v>187</v>
      </c>
      <c r="F24" s="206" t="s">
        <v>187</v>
      </c>
      <c r="G24" s="206" t="s">
        <v>187</v>
      </c>
      <c r="H24" s="206" t="s">
        <v>187</v>
      </c>
      <c r="I24" s="206" t="s">
        <v>187</v>
      </c>
      <c r="J24" s="206" t="s">
        <v>187</v>
      </c>
      <c r="K24" s="206" t="s">
        <v>187</v>
      </c>
      <c r="L24" s="206" t="s">
        <v>187</v>
      </c>
    </row>
    <row r="25" spans="1:12" ht="17.25">
      <c r="A25" s="366"/>
      <c r="B25" s="203">
        <v>10</v>
      </c>
      <c r="C25" s="206" t="s">
        <v>187</v>
      </c>
      <c r="D25" s="206" t="s">
        <v>187</v>
      </c>
      <c r="E25" s="206" t="s">
        <v>187</v>
      </c>
      <c r="F25" s="206" t="s">
        <v>187</v>
      </c>
      <c r="G25" s="206" t="s">
        <v>187</v>
      </c>
      <c r="H25" s="206" t="s">
        <v>187</v>
      </c>
      <c r="I25" s="206" t="s">
        <v>187</v>
      </c>
      <c r="J25" s="206" t="s">
        <v>187</v>
      </c>
      <c r="K25" s="206" t="s">
        <v>187</v>
      </c>
      <c r="L25" s="206" t="s">
        <v>187</v>
      </c>
    </row>
    <row r="27" spans="1:12" ht="17.25">
      <c r="A27" s="207"/>
      <c r="K27" s="208"/>
    </row>
    <row r="28" spans="1:12" ht="27">
      <c r="A28" s="201" t="s">
        <v>183</v>
      </c>
      <c r="B28" s="202" t="s">
        <v>184</v>
      </c>
      <c r="C28" s="201">
        <v>1</v>
      </c>
      <c r="D28" s="201">
        <v>2</v>
      </c>
      <c r="E28" s="201">
        <v>3</v>
      </c>
      <c r="F28" s="201">
        <v>4</v>
      </c>
      <c r="G28" s="201">
        <v>5</v>
      </c>
      <c r="H28" s="201">
        <v>6</v>
      </c>
      <c r="I28" s="201">
        <v>7</v>
      </c>
      <c r="J28" s="201">
        <v>8</v>
      </c>
      <c r="K28" s="201">
        <v>9</v>
      </c>
      <c r="L28" s="201">
        <v>10</v>
      </c>
    </row>
    <row r="29" spans="1:12" ht="17.25">
      <c r="A29" s="366" t="s">
        <v>189</v>
      </c>
      <c r="B29" s="203">
        <v>1</v>
      </c>
      <c r="C29" s="204" t="s">
        <v>78</v>
      </c>
      <c r="D29" s="204" t="s">
        <v>78</v>
      </c>
      <c r="E29" s="204" t="s">
        <v>78</v>
      </c>
      <c r="F29" s="204" t="s">
        <v>78</v>
      </c>
      <c r="G29" s="204" t="s">
        <v>78</v>
      </c>
      <c r="H29" s="204" t="s">
        <v>78</v>
      </c>
      <c r="I29" s="204" t="s">
        <v>78</v>
      </c>
      <c r="J29" s="204" t="s">
        <v>78</v>
      </c>
      <c r="K29" s="204" t="s">
        <v>78</v>
      </c>
      <c r="L29" s="204" t="s">
        <v>78</v>
      </c>
    </row>
    <row r="30" spans="1:12" ht="17.25">
      <c r="A30" s="366"/>
      <c r="B30" s="203">
        <v>2</v>
      </c>
      <c r="C30" s="204" t="s">
        <v>78</v>
      </c>
      <c r="D30" s="204" t="s">
        <v>78</v>
      </c>
      <c r="E30" s="204" t="s">
        <v>78</v>
      </c>
      <c r="F30" s="204" t="s">
        <v>78</v>
      </c>
      <c r="G30" s="204" t="s">
        <v>78</v>
      </c>
      <c r="H30" s="204" t="s">
        <v>78</v>
      </c>
      <c r="I30" s="204" t="s">
        <v>78</v>
      </c>
      <c r="J30" s="204" t="s">
        <v>78</v>
      </c>
      <c r="K30" s="204" t="s">
        <v>78</v>
      </c>
      <c r="L30" s="204" t="s">
        <v>78</v>
      </c>
    </row>
    <row r="31" spans="1:12" ht="17.25">
      <c r="A31" s="366"/>
      <c r="B31" s="203">
        <v>3</v>
      </c>
      <c r="C31" s="204" t="s">
        <v>78</v>
      </c>
      <c r="D31" s="204" t="s">
        <v>78</v>
      </c>
      <c r="E31" s="204" t="s">
        <v>78</v>
      </c>
      <c r="F31" s="204" t="s">
        <v>78</v>
      </c>
      <c r="G31" s="204" t="s">
        <v>78</v>
      </c>
      <c r="H31" s="204" t="s">
        <v>78</v>
      </c>
      <c r="I31" s="204" t="s">
        <v>78</v>
      </c>
      <c r="J31" s="204" t="s">
        <v>78</v>
      </c>
      <c r="K31" s="204" t="s">
        <v>78</v>
      </c>
      <c r="L31" s="204" t="s">
        <v>78</v>
      </c>
    </row>
    <row r="32" spans="1:12" ht="17.25">
      <c r="A32" s="366"/>
      <c r="B32" s="203">
        <v>4</v>
      </c>
      <c r="C32" s="204" t="s">
        <v>78</v>
      </c>
      <c r="D32" s="204" t="s">
        <v>78</v>
      </c>
      <c r="E32" s="204" t="s">
        <v>78</v>
      </c>
      <c r="F32" s="204" t="s">
        <v>78</v>
      </c>
      <c r="G32" s="204" t="s">
        <v>78</v>
      </c>
      <c r="H32" s="204" t="s">
        <v>78</v>
      </c>
      <c r="I32" s="205" t="s">
        <v>186</v>
      </c>
      <c r="J32" s="205" t="s">
        <v>186</v>
      </c>
      <c r="K32" s="205" t="s">
        <v>186</v>
      </c>
      <c r="L32" s="205" t="s">
        <v>186</v>
      </c>
    </row>
    <row r="33" spans="1:12" ht="17.25">
      <c r="A33" s="366"/>
      <c r="B33" s="203">
        <v>5</v>
      </c>
      <c r="C33" s="204" t="s">
        <v>78</v>
      </c>
      <c r="D33" s="204" t="s">
        <v>78</v>
      </c>
      <c r="E33" s="204" t="s">
        <v>78</v>
      </c>
      <c r="F33" s="204" t="s">
        <v>78</v>
      </c>
      <c r="G33" s="204" t="s">
        <v>78</v>
      </c>
      <c r="H33" s="204" t="s">
        <v>78</v>
      </c>
      <c r="I33" s="205" t="s">
        <v>186</v>
      </c>
      <c r="J33" s="205" t="s">
        <v>186</v>
      </c>
      <c r="K33" s="205" t="s">
        <v>186</v>
      </c>
      <c r="L33" s="205" t="s">
        <v>186</v>
      </c>
    </row>
    <row r="34" spans="1:12" ht="17.25">
      <c r="A34" s="366"/>
      <c r="B34" s="203">
        <v>6</v>
      </c>
      <c r="C34" s="204" t="s">
        <v>78</v>
      </c>
      <c r="D34" s="205" t="s">
        <v>186</v>
      </c>
      <c r="E34" s="205" t="s">
        <v>186</v>
      </c>
      <c r="F34" s="205" t="s">
        <v>186</v>
      </c>
      <c r="G34" s="205" t="s">
        <v>186</v>
      </c>
      <c r="H34" s="205" t="s">
        <v>186</v>
      </c>
      <c r="I34" s="205" t="s">
        <v>186</v>
      </c>
      <c r="J34" s="205" t="s">
        <v>186</v>
      </c>
      <c r="K34" s="205" t="s">
        <v>186</v>
      </c>
      <c r="L34" s="205" t="s">
        <v>186</v>
      </c>
    </row>
    <row r="35" spans="1:12" ht="17.25">
      <c r="A35" s="366"/>
      <c r="B35" s="203">
        <v>7</v>
      </c>
      <c r="C35" s="204" t="s">
        <v>78</v>
      </c>
      <c r="D35" s="205" t="s">
        <v>186</v>
      </c>
      <c r="E35" s="205" t="s">
        <v>186</v>
      </c>
      <c r="F35" s="205" t="s">
        <v>186</v>
      </c>
      <c r="G35" s="205" t="s">
        <v>186</v>
      </c>
      <c r="H35" s="205" t="s">
        <v>186</v>
      </c>
      <c r="I35" s="205" t="s">
        <v>186</v>
      </c>
      <c r="J35" s="205" t="s">
        <v>186</v>
      </c>
      <c r="K35" s="205" t="s">
        <v>186</v>
      </c>
      <c r="L35" s="205" t="s">
        <v>186</v>
      </c>
    </row>
    <row r="36" spans="1:12" ht="17.25">
      <c r="A36" s="366"/>
      <c r="B36" s="203">
        <v>8</v>
      </c>
      <c r="C36" s="205" t="s">
        <v>186</v>
      </c>
      <c r="D36" s="205" t="s">
        <v>186</v>
      </c>
      <c r="E36" s="205" t="s">
        <v>186</v>
      </c>
      <c r="F36" s="205" t="s">
        <v>186</v>
      </c>
      <c r="G36" s="206" t="s">
        <v>187</v>
      </c>
      <c r="H36" s="206" t="s">
        <v>187</v>
      </c>
      <c r="I36" s="206" t="s">
        <v>187</v>
      </c>
      <c r="J36" s="206" t="s">
        <v>187</v>
      </c>
      <c r="K36" s="206" t="s">
        <v>187</v>
      </c>
      <c r="L36" s="206" t="s">
        <v>187</v>
      </c>
    </row>
    <row r="37" spans="1:12" ht="17.25">
      <c r="A37" s="366"/>
      <c r="B37" s="203">
        <v>9</v>
      </c>
      <c r="C37" s="205" t="s">
        <v>186</v>
      </c>
      <c r="D37" s="205" t="s">
        <v>186</v>
      </c>
      <c r="E37" s="205" t="s">
        <v>186</v>
      </c>
      <c r="F37" s="205" t="s">
        <v>186</v>
      </c>
      <c r="G37" s="206" t="s">
        <v>187</v>
      </c>
      <c r="H37" s="206" t="s">
        <v>187</v>
      </c>
      <c r="I37" s="206" t="s">
        <v>187</v>
      </c>
      <c r="J37" s="206" t="s">
        <v>187</v>
      </c>
      <c r="K37" s="206" t="s">
        <v>187</v>
      </c>
      <c r="L37" s="206" t="s">
        <v>187</v>
      </c>
    </row>
    <row r="38" spans="1:12" ht="17.25">
      <c r="A38" s="366"/>
      <c r="B38" s="203">
        <v>10</v>
      </c>
      <c r="C38" s="205" t="s">
        <v>186</v>
      </c>
      <c r="D38" s="205" t="s">
        <v>186</v>
      </c>
      <c r="E38" s="205" t="s">
        <v>186</v>
      </c>
      <c r="F38" s="205" t="s">
        <v>186</v>
      </c>
      <c r="G38" s="206" t="s">
        <v>187</v>
      </c>
      <c r="H38" s="206" t="s">
        <v>187</v>
      </c>
      <c r="I38" s="206" t="s">
        <v>187</v>
      </c>
      <c r="J38" s="206" t="s">
        <v>187</v>
      </c>
      <c r="K38" s="206" t="s">
        <v>187</v>
      </c>
      <c r="L38" s="206" t="s">
        <v>187</v>
      </c>
    </row>
    <row r="40" spans="1:12" ht="17.25">
      <c r="A40" s="207"/>
      <c r="K40" s="208"/>
    </row>
    <row r="41" spans="1:12" ht="27">
      <c r="A41" s="201" t="s">
        <v>183</v>
      </c>
      <c r="B41" s="202" t="s">
        <v>184</v>
      </c>
      <c r="C41" s="201">
        <v>1</v>
      </c>
      <c r="D41" s="201">
        <v>2</v>
      </c>
      <c r="E41" s="201">
        <v>3</v>
      </c>
      <c r="F41" s="201">
        <v>4</v>
      </c>
      <c r="G41" s="201">
        <v>5</v>
      </c>
      <c r="H41" s="201">
        <v>6</v>
      </c>
      <c r="I41" s="201">
        <v>7</v>
      </c>
      <c r="J41" s="201">
        <v>8</v>
      </c>
      <c r="K41" s="201">
        <v>9</v>
      </c>
      <c r="L41" s="201">
        <v>10</v>
      </c>
    </row>
    <row r="42" spans="1:12" ht="17.25">
      <c r="A42" s="366" t="s">
        <v>190</v>
      </c>
      <c r="B42" s="203">
        <v>1</v>
      </c>
      <c r="C42" s="204" t="s">
        <v>78</v>
      </c>
      <c r="D42" s="204" t="s">
        <v>78</v>
      </c>
      <c r="E42" s="204" t="s">
        <v>78</v>
      </c>
      <c r="F42" s="204" t="s">
        <v>78</v>
      </c>
      <c r="G42" s="204" t="s">
        <v>78</v>
      </c>
      <c r="H42" s="204" t="s">
        <v>78</v>
      </c>
      <c r="I42" s="204" t="s">
        <v>78</v>
      </c>
      <c r="J42" s="204" t="s">
        <v>78</v>
      </c>
      <c r="K42" s="204" t="s">
        <v>78</v>
      </c>
      <c r="L42" s="204" t="s">
        <v>78</v>
      </c>
    </row>
    <row r="43" spans="1:12" ht="17.25">
      <c r="A43" s="366"/>
      <c r="B43" s="203">
        <v>2</v>
      </c>
      <c r="C43" s="204" t="s">
        <v>78</v>
      </c>
      <c r="D43" s="204" t="s">
        <v>78</v>
      </c>
      <c r="E43" s="204" t="s">
        <v>78</v>
      </c>
      <c r="F43" s="204" t="s">
        <v>78</v>
      </c>
      <c r="G43" s="204" t="s">
        <v>78</v>
      </c>
      <c r="H43" s="204" t="s">
        <v>78</v>
      </c>
      <c r="I43" s="204" t="s">
        <v>78</v>
      </c>
      <c r="J43" s="204" t="s">
        <v>78</v>
      </c>
      <c r="K43" s="204" t="s">
        <v>78</v>
      </c>
      <c r="L43" s="204" t="s">
        <v>78</v>
      </c>
    </row>
    <row r="44" spans="1:12" ht="17.25">
      <c r="A44" s="366"/>
      <c r="B44" s="203">
        <v>3</v>
      </c>
      <c r="C44" s="204" t="s">
        <v>78</v>
      </c>
      <c r="D44" s="204" t="s">
        <v>78</v>
      </c>
      <c r="E44" s="204" t="s">
        <v>78</v>
      </c>
      <c r="F44" s="204" t="s">
        <v>78</v>
      </c>
      <c r="G44" s="204" t="s">
        <v>78</v>
      </c>
      <c r="H44" s="204" t="s">
        <v>78</v>
      </c>
      <c r="I44" s="204" t="s">
        <v>78</v>
      </c>
      <c r="J44" s="204" t="s">
        <v>78</v>
      </c>
      <c r="K44" s="204" t="s">
        <v>78</v>
      </c>
      <c r="L44" s="204" t="s">
        <v>78</v>
      </c>
    </row>
    <row r="45" spans="1:12" ht="17.25">
      <c r="A45" s="366"/>
      <c r="B45" s="203">
        <v>4</v>
      </c>
      <c r="C45" s="204" t="s">
        <v>78</v>
      </c>
      <c r="D45" s="204" t="s">
        <v>78</v>
      </c>
      <c r="E45" s="204" t="s">
        <v>78</v>
      </c>
      <c r="F45" s="204" t="s">
        <v>78</v>
      </c>
      <c r="G45" s="204" t="s">
        <v>78</v>
      </c>
      <c r="H45" s="204" t="s">
        <v>78</v>
      </c>
      <c r="I45" s="204" t="s">
        <v>78</v>
      </c>
      <c r="J45" s="204" t="s">
        <v>78</v>
      </c>
      <c r="K45" s="204" t="s">
        <v>78</v>
      </c>
      <c r="L45" s="204" t="s">
        <v>78</v>
      </c>
    </row>
    <row r="46" spans="1:12" ht="17.25">
      <c r="A46" s="366"/>
      <c r="B46" s="203">
        <v>5</v>
      </c>
      <c r="C46" s="204" t="s">
        <v>78</v>
      </c>
      <c r="D46" s="204" t="s">
        <v>78</v>
      </c>
      <c r="E46" s="204" t="s">
        <v>78</v>
      </c>
      <c r="F46" s="204" t="s">
        <v>78</v>
      </c>
      <c r="G46" s="204" t="s">
        <v>78</v>
      </c>
      <c r="H46" s="204" t="s">
        <v>78</v>
      </c>
      <c r="I46" s="204" t="s">
        <v>78</v>
      </c>
      <c r="J46" s="204" t="s">
        <v>78</v>
      </c>
      <c r="K46" s="204" t="s">
        <v>78</v>
      </c>
      <c r="L46" s="204" t="s">
        <v>78</v>
      </c>
    </row>
    <row r="47" spans="1:12" ht="17.25">
      <c r="A47" s="366"/>
      <c r="B47" s="203">
        <v>6</v>
      </c>
      <c r="C47" s="204" t="s">
        <v>78</v>
      </c>
      <c r="D47" s="204" t="s">
        <v>78</v>
      </c>
      <c r="E47" s="204" t="s">
        <v>78</v>
      </c>
      <c r="F47" s="204" t="s">
        <v>78</v>
      </c>
      <c r="G47" s="204" t="s">
        <v>78</v>
      </c>
      <c r="H47" s="204" t="s">
        <v>78</v>
      </c>
      <c r="I47" s="204" t="s">
        <v>78</v>
      </c>
      <c r="J47" s="204" t="s">
        <v>78</v>
      </c>
      <c r="K47" s="204" t="s">
        <v>78</v>
      </c>
      <c r="L47" s="204" t="s">
        <v>78</v>
      </c>
    </row>
    <row r="48" spans="1:12" ht="17.25">
      <c r="A48" s="366"/>
      <c r="B48" s="203">
        <v>7</v>
      </c>
      <c r="C48" s="204" t="s">
        <v>78</v>
      </c>
      <c r="D48" s="204" t="s">
        <v>78</v>
      </c>
      <c r="E48" s="204" t="s">
        <v>78</v>
      </c>
      <c r="F48" s="204" t="s">
        <v>78</v>
      </c>
      <c r="G48" s="204" t="s">
        <v>78</v>
      </c>
      <c r="H48" s="204" t="s">
        <v>78</v>
      </c>
      <c r="I48" s="204" t="s">
        <v>78</v>
      </c>
      <c r="J48" s="204" t="s">
        <v>78</v>
      </c>
      <c r="K48" s="204" t="s">
        <v>78</v>
      </c>
      <c r="L48" s="204" t="s">
        <v>78</v>
      </c>
    </row>
    <row r="49" spans="1:12" ht="17.25">
      <c r="A49" s="366"/>
      <c r="B49" s="203">
        <v>8</v>
      </c>
      <c r="C49" s="204" t="s">
        <v>78</v>
      </c>
      <c r="D49" s="204" t="s">
        <v>78</v>
      </c>
      <c r="E49" s="204" t="s">
        <v>78</v>
      </c>
      <c r="F49" s="204" t="s">
        <v>78</v>
      </c>
      <c r="G49" s="205" t="s">
        <v>186</v>
      </c>
      <c r="H49" s="205" t="s">
        <v>186</v>
      </c>
      <c r="I49" s="205" t="s">
        <v>186</v>
      </c>
      <c r="J49" s="205" t="s">
        <v>186</v>
      </c>
      <c r="K49" s="205" t="s">
        <v>186</v>
      </c>
      <c r="L49" s="205" t="s">
        <v>186</v>
      </c>
    </row>
    <row r="50" spans="1:12" ht="17.25">
      <c r="A50" s="366"/>
      <c r="B50" s="203">
        <v>9</v>
      </c>
      <c r="C50" s="204" t="s">
        <v>78</v>
      </c>
      <c r="D50" s="204" t="s">
        <v>78</v>
      </c>
      <c r="E50" s="204" t="s">
        <v>78</v>
      </c>
      <c r="F50" s="204" t="s">
        <v>78</v>
      </c>
      <c r="G50" s="205" t="s">
        <v>186</v>
      </c>
      <c r="H50" s="205" t="s">
        <v>186</v>
      </c>
      <c r="I50" s="205" t="s">
        <v>186</v>
      </c>
      <c r="J50" s="205" t="s">
        <v>186</v>
      </c>
      <c r="K50" s="205" t="s">
        <v>186</v>
      </c>
      <c r="L50" s="205" t="s">
        <v>186</v>
      </c>
    </row>
    <row r="51" spans="1:12" ht="17.25">
      <c r="A51" s="366"/>
      <c r="B51" s="203">
        <v>10</v>
      </c>
      <c r="C51" s="204" t="s">
        <v>78</v>
      </c>
      <c r="D51" s="204" t="s">
        <v>78</v>
      </c>
      <c r="E51" s="204" t="s">
        <v>78</v>
      </c>
      <c r="F51" s="204" t="s">
        <v>78</v>
      </c>
      <c r="G51" s="205" t="s">
        <v>186</v>
      </c>
      <c r="H51" s="205" t="s">
        <v>186</v>
      </c>
      <c r="I51" s="205" t="s">
        <v>186</v>
      </c>
      <c r="J51" s="205" t="s">
        <v>186</v>
      </c>
      <c r="K51" s="205" t="s">
        <v>186</v>
      </c>
      <c r="L51" s="205" t="s">
        <v>186</v>
      </c>
    </row>
    <row r="54" spans="1:12">
      <c r="A54" s="207" t="s">
        <v>191</v>
      </c>
      <c r="B54" s="207"/>
      <c r="C54" s="207"/>
    </row>
  </sheetData>
  <mergeCells count="4">
    <mergeCell ref="A3:A12"/>
    <mergeCell ref="A16:A25"/>
    <mergeCell ref="A29:A38"/>
    <mergeCell ref="A42:A51"/>
  </mergeCells>
  <phoneticPr fontId="2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20C1B-D870-475E-87FD-12836EB47837}">
  <dimension ref="A1:G55"/>
  <sheetViews>
    <sheetView view="pageLayout" topLeftCell="A10" zoomScaleNormal="100" workbookViewId="0">
      <selection activeCell="C35" sqref="C35"/>
    </sheetView>
  </sheetViews>
  <sheetFormatPr defaultColWidth="10" defaultRowHeight="12.75"/>
  <cols>
    <col min="1" max="1" width="8" style="194" customWidth="1"/>
    <col min="2" max="2" width="19.86328125" style="194" customWidth="1"/>
    <col min="3" max="3" width="29.59765625" style="194" customWidth="1"/>
    <col min="4" max="4" width="23.1328125" style="194" customWidth="1"/>
    <col min="5" max="5" width="13" style="194" customWidth="1"/>
    <col min="6" max="6" width="13.59765625" style="194" customWidth="1"/>
    <col min="7" max="7" width="10.86328125" style="194" customWidth="1"/>
    <col min="8" max="16384" width="10" style="194"/>
  </cols>
  <sheetData>
    <row r="1" spans="1:7" ht="29.1" customHeight="1">
      <c r="A1" s="367" t="s">
        <v>0</v>
      </c>
      <c r="B1" s="368"/>
      <c r="C1" s="368"/>
      <c r="D1" s="368"/>
      <c r="E1" s="368"/>
      <c r="F1" s="368"/>
      <c r="G1" s="369"/>
    </row>
    <row r="2" spans="1:7" s="193" customFormat="1" ht="28.5" customHeight="1">
      <c r="A2" s="370" t="s">
        <v>192</v>
      </c>
      <c r="B2" s="370"/>
      <c r="C2" s="371" t="s">
        <v>193</v>
      </c>
      <c r="D2" s="371"/>
      <c r="E2" s="371"/>
      <c r="F2" s="371"/>
      <c r="G2" s="372"/>
    </row>
    <row r="3" spans="1:7" ht="18.75" customHeight="1">
      <c r="A3" s="195" t="s">
        <v>194</v>
      </c>
      <c r="B3" s="195" t="s">
        <v>195</v>
      </c>
      <c r="C3" s="195" t="s">
        <v>196</v>
      </c>
      <c r="D3" s="195" t="s">
        <v>197</v>
      </c>
      <c r="E3" s="195" t="s">
        <v>198</v>
      </c>
      <c r="F3" s="196" t="s">
        <v>199</v>
      </c>
      <c r="G3" s="195" t="s">
        <v>200</v>
      </c>
    </row>
    <row r="4" spans="1:7" ht="20.25" customHeight="1">
      <c r="A4" s="197" t="s">
        <v>201</v>
      </c>
      <c r="B4" s="197" t="s">
        <v>201</v>
      </c>
      <c r="C4" s="197" t="s">
        <v>201</v>
      </c>
      <c r="D4" s="197" t="s">
        <v>201</v>
      </c>
      <c r="E4" s="197" t="s">
        <v>201</v>
      </c>
      <c r="F4" s="197" t="s">
        <v>201</v>
      </c>
      <c r="G4" s="197" t="s">
        <v>201</v>
      </c>
    </row>
    <row r="5" spans="1:7" ht="15.75">
      <c r="A5" s="197"/>
      <c r="B5" s="197"/>
      <c r="C5" s="197"/>
      <c r="D5" s="197"/>
      <c r="E5" s="197"/>
      <c r="F5" s="197"/>
      <c r="G5" s="197"/>
    </row>
    <row r="6" spans="1:7" ht="15.75">
      <c r="A6" s="197"/>
      <c r="B6" s="197"/>
      <c r="C6" s="197"/>
      <c r="D6" s="197"/>
      <c r="E6" s="197"/>
      <c r="F6" s="197"/>
      <c r="G6" s="197"/>
    </row>
    <row r="7" spans="1:7" ht="15.75">
      <c r="A7" s="197"/>
      <c r="B7" s="197"/>
      <c r="C7" s="197"/>
      <c r="D7" s="197"/>
      <c r="E7" s="197"/>
      <c r="F7" s="197"/>
      <c r="G7" s="197"/>
    </row>
    <row r="8" spans="1:7" ht="15.75">
      <c r="A8" s="198"/>
      <c r="B8" s="198"/>
      <c r="C8" s="198"/>
      <c r="D8" s="197"/>
      <c r="E8" s="197"/>
      <c r="F8" s="197"/>
      <c r="G8" s="197"/>
    </row>
    <row r="9" spans="1:7" ht="15.75">
      <c r="A9" s="197"/>
      <c r="B9" s="197"/>
      <c r="C9" s="197"/>
      <c r="D9" s="197"/>
      <c r="E9" s="197"/>
      <c r="F9" s="197"/>
      <c r="G9" s="197"/>
    </row>
    <row r="10" spans="1:7" ht="15.75">
      <c r="A10" s="197"/>
      <c r="B10" s="197"/>
      <c r="C10" s="197"/>
      <c r="D10" s="197"/>
      <c r="E10" s="197"/>
      <c r="F10" s="197"/>
      <c r="G10" s="197"/>
    </row>
    <row r="11" spans="1:7" ht="15.75">
      <c r="A11" s="197"/>
      <c r="B11" s="197"/>
      <c r="C11" s="197"/>
      <c r="D11" s="197"/>
      <c r="E11" s="197"/>
      <c r="F11" s="197"/>
      <c r="G11" s="197"/>
    </row>
    <row r="12" spans="1:7" ht="15.75">
      <c r="A12" s="197"/>
      <c r="B12" s="197"/>
      <c r="C12" s="197"/>
      <c r="D12" s="197"/>
      <c r="E12" s="197"/>
      <c r="F12" s="197"/>
      <c r="G12" s="197"/>
    </row>
    <row r="13" spans="1:7" ht="15.75">
      <c r="A13" s="197"/>
      <c r="B13" s="197"/>
      <c r="C13" s="197"/>
      <c r="D13" s="197"/>
      <c r="E13" s="197"/>
      <c r="F13" s="197"/>
      <c r="G13" s="197"/>
    </row>
    <row r="14" spans="1:7" ht="15.75">
      <c r="A14" s="197"/>
      <c r="B14" s="197"/>
      <c r="C14" s="197"/>
      <c r="D14" s="197"/>
      <c r="E14" s="197"/>
      <c r="F14" s="197"/>
      <c r="G14" s="197"/>
    </row>
    <row r="15" spans="1:7" ht="15.75">
      <c r="A15" s="197"/>
      <c r="B15" s="197"/>
      <c r="C15" s="197"/>
      <c r="D15" s="197"/>
      <c r="E15" s="197"/>
      <c r="F15" s="197"/>
      <c r="G15" s="197"/>
    </row>
    <row r="16" spans="1:7" ht="15.75">
      <c r="A16" s="197"/>
      <c r="B16" s="197"/>
      <c r="C16" s="197"/>
      <c r="D16" s="197"/>
      <c r="E16" s="197"/>
      <c r="F16" s="197"/>
      <c r="G16" s="197"/>
    </row>
    <row r="17" spans="1:7">
      <c r="A17" s="199"/>
      <c r="B17" s="199"/>
      <c r="C17" s="199"/>
      <c r="D17" s="199"/>
      <c r="E17" s="199"/>
      <c r="F17" s="199"/>
      <c r="G17" s="199"/>
    </row>
    <row r="18" spans="1:7">
      <c r="A18" s="199"/>
      <c r="B18" s="199"/>
      <c r="C18" s="199"/>
      <c r="D18" s="199"/>
      <c r="E18" s="199"/>
      <c r="F18" s="199"/>
      <c r="G18" s="199"/>
    </row>
    <row r="19" spans="1:7">
      <c r="A19" s="199"/>
      <c r="B19" s="199"/>
      <c r="C19" s="199"/>
      <c r="D19" s="199"/>
      <c r="E19" s="199"/>
      <c r="F19" s="199"/>
      <c r="G19" s="199"/>
    </row>
    <row r="20" spans="1:7">
      <c r="A20" s="199"/>
      <c r="B20" s="199"/>
      <c r="C20" s="199"/>
      <c r="D20" s="199"/>
      <c r="E20" s="199"/>
      <c r="F20" s="199"/>
      <c r="G20" s="199"/>
    </row>
    <row r="21" spans="1:7">
      <c r="A21" s="199"/>
      <c r="B21" s="199"/>
      <c r="C21" s="199"/>
      <c r="D21" s="199"/>
      <c r="E21" s="199"/>
      <c r="F21" s="199"/>
      <c r="G21" s="199"/>
    </row>
    <row r="22" spans="1:7">
      <c r="A22" s="199"/>
      <c r="B22" s="199"/>
      <c r="C22" s="199"/>
      <c r="D22" s="199"/>
      <c r="E22" s="199"/>
      <c r="F22" s="199"/>
      <c r="G22" s="199"/>
    </row>
    <row r="23" spans="1:7">
      <c r="A23" s="199"/>
      <c r="B23" s="199"/>
      <c r="C23" s="199"/>
      <c r="D23" s="199"/>
      <c r="E23" s="199"/>
      <c r="F23" s="199"/>
      <c r="G23" s="199"/>
    </row>
    <row r="24" spans="1:7">
      <c r="A24" s="199"/>
      <c r="B24" s="199"/>
      <c r="C24" s="199"/>
      <c r="D24" s="199"/>
      <c r="E24" s="199"/>
      <c r="F24" s="199"/>
      <c r="G24" s="199"/>
    </row>
    <row r="25" spans="1:7">
      <c r="A25" s="199"/>
      <c r="B25" s="199"/>
      <c r="C25" s="199"/>
      <c r="D25" s="199"/>
      <c r="E25" s="199"/>
      <c r="F25" s="199"/>
      <c r="G25" s="199"/>
    </row>
    <row r="26" spans="1:7">
      <c r="A26" s="199"/>
      <c r="B26" s="199"/>
      <c r="C26" s="199"/>
      <c r="D26" s="199"/>
      <c r="E26" s="199"/>
      <c r="F26" s="199"/>
      <c r="G26" s="199"/>
    </row>
    <row r="27" spans="1:7">
      <c r="A27" s="199"/>
      <c r="B27" s="199"/>
      <c r="C27" s="199"/>
      <c r="D27" s="199"/>
      <c r="E27" s="199"/>
      <c r="F27" s="199"/>
      <c r="G27" s="199"/>
    </row>
    <row r="28" spans="1:7">
      <c r="A28" s="199"/>
      <c r="B28" s="199"/>
      <c r="C28" s="199"/>
      <c r="D28" s="199"/>
      <c r="E28" s="199"/>
      <c r="F28" s="199"/>
      <c r="G28" s="199"/>
    </row>
    <row r="29" spans="1:7">
      <c r="A29" s="199"/>
      <c r="B29" s="199"/>
      <c r="C29" s="199"/>
      <c r="D29" s="199"/>
      <c r="E29" s="199"/>
      <c r="F29" s="199">
        <f>2890+20</f>
        <v>2910</v>
      </c>
      <c r="G29" s="199"/>
    </row>
    <row r="30" spans="1:7">
      <c r="A30" s="199"/>
      <c r="B30" s="199"/>
      <c r="C30" s="199"/>
      <c r="D30" s="199"/>
      <c r="E30" s="199"/>
      <c r="F30" s="199"/>
      <c r="G30" s="199"/>
    </row>
    <row r="31" spans="1:7">
      <c r="A31" s="199"/>
      <c r="B31" s="199"/>
      <c r="C31" s="199"/>
      <c r="D31" s="199"/>
      <c r="E31" s="199"/>
      <c r="F31" s="199"/>
      <c r="G31" s="199"/>
    </row>
    <row r="32" spans="1:7">
      <c r="A32" s="199"/>
      <c r="B32" s="199"/>
      <c r="C32" s="199"/>
      <c r="D32" s="199"/>
      <c r="E32" s="199"/>
      <c r="F32" s="199"/>
      <c r="G32" s="199"/>
    </row>
    <row r="33" spans="1:7">
      <c r="A33" s="199"/>
      <c r="B33" s="199"/>
      <c r="C33" s="199"/>
      <c r="D33" s="199"/>
      <c r="E33" s="199"/>
      <c r="F33" s="199"/>
      <c r="G33" s="199"/>
    </row>
    <row r="34" spans="1:7">
      <c r="A34" s="199"/>
      <c r="B34" s="199"/>
      <c r="C34" s="199"/>
      <c r="D34" s="199"/>
      <c r="E34" s="199"/>
      <c r="F34" s="199"/>
      <c r="G34" s="199"/>
    </row>
    <row r="35" spans="1:7">
      <c r="A35" s="199"/>
      <c r="B35" s="199"/>
      <c r="C35" s="199"/>
      <c r="D35" s="199"/>
      <c r="E35" s="199"/>
      <c r="F35" s="199"/>
      <c r="G35" s="199"/>
    </row>
    <row r="36" spans="1:7">
      <c r="A36" s="199"/>
      <c r="B36" s="199"/>
      <c r="C36" s="199"/>
      <c r="D36" s="199"/>
      <c r="E36" s="199"/>
      <c r="F36" s="199"/>
      <c r="G36" s="199"/>
    </row>
    <row r="37" spans="1:7">
      <c r="A37" s="199"/>
      <c r="B37" s="199"/>
      <c r="C37" s="199"/>
      <c r="D37" s="199"/>
      <c r="E37" s="199"/>
      <c r="F37" s="199"/>
      <c r="G37" s="199"/>
    </row>
    <row r="38" spans="1:7">
      <c r="A38" s="199"/>
      <c r="B38" s="199"/>
      <c r="C38" s="199"/>
      <c r="D38" s="199"/>
      <c r="E38" s="199"/>
      <c r="F38" s="199"/>
      <c r="G38" s="199"/>
    </row>
    <row r="39" spans="1:7">
      <c r="A39" s="199"/>
      <c r="B39" s="199"/>
      <c r="C39" s="199"/>
      <c r="D39" s="199"/>
      <c r="E39" s="199"/>
      <c r="F39" s="199"/>
      <c r="G39" s="199"/>
    </row>
    <row r="40" spans="1:7">
      <c r="A40" s="199"/>
      <c r="B40" s="199"/>
      <c r="C40" s="199"/>
      <c r="D40" s="199"/>
      <c r="E40" s="199"/>
      <c r="F40" s="199"/>
      <c r="G40" s="199"/>
    </row>
    <row r="41" spans="1:7">
      <c r="A41" s="199"/>
      <c r="B41" s="199"/>
      <c r="C41" s="199"/>
      <c r="D41" s="199"/>
      <c r="E41" s="199"/>
      <c r="F41" s="199"/>
      <c r="G41" s="199"/>
    </row>
    <row r="42" spans="1:7">
      <c r="A42" s="199"/>
      <c r="B42" s="199"/>
      <c r="C42" s="199"/>
      <c r="D42" s="199"/>
      <c r="E42" s="199"/>
      <c r="F42" s="199"/>
      <c r="G42" s="199"/>
    </row>
    <row r="43" spans="1:7">
      <c r="A43" s="199"/>
      <c r="B43" s="199"/>
      <c r="C43" s="199"/>
      <c r="D43" s="199"/>
      <c r="E43" s="199"/>
      <c r="F43" s="199"/>
      <c r="G43" s="199"/>
    </row>
    <row r="44" spans="1:7">
      <c r="A44" s="199"/>
      <c r="B44" s="199"/>
      <c r="C44" s="199"/>
      <c r="D44" s="199"/>
      <c r="E44" s="199"/>
      <c r="F44" s="199"/>
      <c r="G44" s="199"/>
    </row>
    <row r="45" spans="1:7">
      <c r="A45" s="199"/>
      <c r="B45" s="199"/>
      <c r="C45" s="199"/>
      <c r="D45" s="199"/>
      <c r="E45" s="199"/>
      <c r="F45" s="199"/>
      <c r="G45" s="199"/>
    </row>
    <row r="46" spans="1:7">
      <c r="A46" s="199"/>
      <c r="B46" s="199"/>
      <c r="C46" s="199"/>
      <c r="D46" s="199"/>
      <c r="E46" s="199"/>
      <c r="F46" s="199"/>
      <c r="G46" s="199"/>
    </row>
    <row r="47" spans="1:7">
      <c r="A47" s="199"/>
      <c r="B47" s="199"/>
      <c r="C47" s="199"/>
      <c r="D47" s="199"/>
      <c r="E47" s="199"/>
      <c r="F47" s="199"/>
      <c r="G47" s="199"/>
    </row>
    <row r="48" spans="1:7">
      <c r="A48" s="199"/>
      <c r="B48" s="199"/>
      <c r="C48" s="199"/>
      <c r="D48" s="199"/>
      <c r="E48" s="199"/>
      <c r="F48" s="199"/>
      <c r="G48" s="199"/>
    </row>
    <row r="49" spans="1:7">
      <c r="A49" s="199"/>
      <c r="B49" s="199"/>
      <c r="C49" s="199"/>
      <c r="D49" s="199"/>
      <c r="E49" s="199"/>
      <c r="F49" s="199"/>
      <c r="G49" s="199"/>
    </row>
    <row r="50" spans="1:7">
      <c r="A50" s="199"/>
      <c r="B50" s="199"/>
      <c r="C50" s="199"/>
      <c r="D50" s="199"/>
      <c r="E50" s="199"/>
      <c r="F50" s="199"/>
      <c r="G50" s="199"/>
    </row>
    <row r="51" spans="1:7">
      <c r="A51" s="199"/>
      <c r="B51" s="199"/>
      <c r="C51" s="199"/>
      <c r="D51" s="199"/>
      <c r="E51" s="199"/>
      <c r="F51" s="199"/>
      <c r="G51" s="199"/>
    </row>
    <row r="52" spans="1:7">
      <c r="A52" s="199"/>
      <c r="B52" s="199"/>
      <c r="C52" s="199"/>
      <c r="D52" s="199"/>
      <c r="E52" s="199"/>
      <c r="F52" s="199"/>
      <c r="G52" s="199"/>
    </row>
    <row r="53" spans="1:7">
      <c r="A53" s="199"/>
      <c r="B53" s="199"/>
      <c r="C53" s="199"/>
      <c r="D53" s="199"/>
      <c r="E53" s="199"/>
      <c r="F53" s="199"/>
      <c r="G53" s="199"/>
    </row>
    <row r="54" spans="1:7">
      <c r="A54" s="199"/>
      <c r="B54" s="199"/>
      <c r="C54" s="199"/>
      <c r="D54" s="199"/>
      <c r="E54" s="199"/>
      <c r="F54" s="199"/>
      <c r="G54" s="199"/>
    </row>
    <row r="55" spans="1:7">
      <c r="A55" s="199"/>
      <c r="B55" s="199"/>
      <c r="C55" s="199"/>
      <c r="D55" s="199"/>
      <c r="E55" s="199"/>
      <c r="F55" s="199"/>
      <c r="G55" s="199"/>
    </row>
  </sheetData>
  <mergeCells count="3">
    <mergeCell ref="A1:G1"/>
    <mergeCell ref="A2:B2"/>
    <mergeCell ref="C2:G2"/>
  </mergeCells>
  <phoneticPr fontId="23" type="noConversion"/>
  <pageMargins left="0.39370078740157483" right="0.39370078740157483" top="0.31496062992125984" bottom="0.78740157480314965" header="0.39370078740157483" footer="0.19685039370078741"/>
  <pageSetup paperSize="9" orientation="landscape" r:id="rId1"/>
  <headerFooter alignWithMargins="0">
    <oddFooter xml:space="preserve">&amp;L&amp;"宋体,常规"&amp;8编制部门：工程研究院
注意：公司OA系统中已发布的记录模板是有效版本。 </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BB6D-A538-4424-BFC9-BD21AC162524}">
  <dimension ref="A1:Z44"/>
  <sheetViews>
    <sheetView topLeftCell="A21" zoomScale="70" workbookViewId="0">
      <selection activeCell="A24" sqref="A24"/>
    </sheetView>
  </sheetViews>
  <sheetFormatPr defaultColWidth="9" defaultRowHeight="13.5"/>
  <cols>
    <col min="1" max="1" width="43.73046875" style="51" customWidth="1"/>
    <col min="2" max="2" width="20.46484375" style="51" hidden="1" customWidth="1"/>
    <col min="3" max="3" width="28" style="51" hidden="1" customWidth="1"/>
    <col min="4" max="4" width="31.59765625" style="51" customWidth="1"/>
    <col min="5" max="5" width="54.46484375" style="51" customWidth="1"/>
    <col min="6" max="6" width="47.46484375" style="51" customWidth="1"/>
    <col min="7" max="7" width="68.59765625" style="51" customWidth="1"/>
    <col min="8" max="8" width="23" style="51" customWidth="1"/>
    <col min="9" max="9" width="27.265625" style="51" customWidth="1"/>
    <col min="10" max="26" width="9" style="51" bestFit="1" customWidth="1"/>
    <col min="27" max="27" width="9" style="53" bestFit="1"/>
    <col min="28" max="16384" width="9" style="53"/>
  </cols>
  <sheetData>
    <row r="1" spans="1:11" s="51" customFormat="1" ht="20.25">
      <c r="A1" s="383" t="s">
        <v>202</v>
      </c>
      <c r="B1" s="383"/>
      <c r="C1" s="383"/>
      <c r="D1" s="383"/>
      <c r="E1" s="383"/>
      <c r="F1" s="383"/>
      <c r="G1" s="383"/>
      <c r="H1" s="383"/>
      <c r="I1" s="383"/>
    </row>
    <row r="2" spans="1:11" s="51" customFormat="1">
      <c r="A2" s="384" t="s">
        <v>203</v>
      </c>
      <c r="B2" s="384"/>
      <c r="C2" s="384"/>
      <c r="D2" s="384"/>
      <c r="E2" s="384"/>
      <c r="F2" s="384"/>
      <c r="G2" s="384"/>
      <c r="H2" s="384"/>
      <c r="I2" s="384"/>
    </row>
    <row r="3" spans="1:11" s="51" customFormat="1">
      <c r="A3" s="179" t="s">
        <v>204</v>
      </c>
      <c r="B3" s="55"/>
      <c r="C3" s="55"/>
      <c r="D3" s="55"/>
      <c r="E3" s="56" t="s">
        <v>205</v>
      </c>
      <c r="F3" s="56" t="s">
        <v>206</v>
      </c>
      <c r="G3" s="56" t="s">
        <v>207</v>
      </c>
      <c r="H3" s="385" t="s">
        <v>208</v>
      </c>
      <c r="I3" s="386"/>
    </row>
    <row r="4" spans="1:11" s="51" customFormat="1">
      <c r="A4" s="387" t="s">
        <v>209</v>
      </c>
      <c r="B4" s="388"/>
      <c r="C4" s="388"/>
      <c r="D4" s="389"/>
      <c r="E4" s="57" t="s">
        <v>210</v>
      </c>
      <c r="F4" s="58" t="s">
        <v>211</v>
      </c>
      <c r="G4" s="58" t="s">
        <v>212</v>
      </c>
      <c r="H4" s="390" t="s">
        <v>213</v>
      </c>
      <c r="I4" s="391"/>
    </row>
    <row r="5" spans="1:11" s="51" customFormat="1" ht="338.25" customHeight="1">
      <c r="A5" s="392" t="s">
        <v>214</v>
      </c>
      <c r="B5" s="393"/>
      <c r="C5" s="393"/>
      <c r="D5" s="394"/>
      <c r="E5" s="180" t="s">
        <v>215</v>
      </c>
      <c r="F5" s="180" t="s">
        <v>216</v>
      </c>
      <c r="G5" s="180" t="s">
        <v>217</v>
      </c>
      <c r="H5" s="395" t="s">
        <v>218</v>
      </c>
      <c r="I5" s="396"/>
    </row>
    <row r="6" spans="1:11" s="51" customFormat="1">
      <c r="A6" s="379" t="s">
        <v>219</v>
      </c>
      <c r="B6" s="379"/>
      <c r="C6" s="379" t="s">
        <v>220</v>
      </c>
      <c r="D6" s="379"/>
      <c r="E6" s="379"/>
      <c r="F6" s="379"/>
      <c r="G6" s="379"/>
      <c r="H6" s="379" t="s">
        <v>221</v>
      </c>
      <c r="I6" s="379"/>
    </row>
    <row r="7" spans="1:11" s="52" customFormat="1" ht="198.75" customHeight="1">
      <c r="A7" s="181" t="s">
        <v>222</v>
      </c>
      <c r="B7" s="60"/>
      <c r="C7" s="380" t="s">
        <v>67</v>
      </c>
      <c r="D7" s="380"/>
      <c r="E7" s="380"/>
      <c r="F7" s="380"/>
      <c r="G7" s="380"/>
      <c r="H7" s="381" t="s">
        <v>223</v>
      </c>
      <c r="I7" s="382"/>
    </row>
    <row r="8" spans="1:11" s="51" customFormat="1">
      <c r="A8" s="379" t="s">
        <v>224</v>
      </c>
      <c r="B8" s="379"/>
      <c r="C8" s="61" t="s">
        <v>225</v>
      </c>
      <c r="D8" s="61" t="s">
        <v>225</v>
      </c>
      <c r="E8" s="379" t="s">
        <v>226</v>
      </c>
      <c r="F8" s="379"/>
      <c r="G8" s="62" t="s">
        <v>227</v>
      </c>
      <c r="H8" s="379" t="s">
        <v>228</v>
      </c>
      <c r="I8" s="379"/>
    </row>
    <row r="9" spans="1:11" s="51" customFormat="1" ht="255" customHeight="1">
      <c r="A9" s="374" t="s">
        <v>229</v>
      </c>
      <c r="B9" s="374"/>
      <c r="C9" s="374" t="s">
        <v>230</v>
      </c>
      <c r="D9" s="376" t="s">
        <v>231</v>
      </c>
      <c r="E9" s="374" t="s">
        <v>232</v>
      </c>
      <c r="F9" s="374"/>
      <c r="G9" s="374" t="s">
        <v>233</v>
      </c>
      <c r="H9" s="373" t="s">
        <v>234</v>
      </c>
      <c r="I9" s="374"/>
    </row>
    <row r="10" spans="1:11" s="51" customFormat="1" ht="14.25" hidden="1" customHeight="1">
      <c r="A10" s="374"/>
      <c r="B10" s="374"/>
      <c r="C10" s="374"/>
      <c r="D10" s="377"/>
      <c r="E10" s="374"/>
      <c r="F10" s="374"/>
      <c r="G10" s="374"/>
      <c r="H10" s="373"/>
      <c r="I10" s="374"/>
      <c r="K10" s="51" t="s">
        <v>235</v>
      </c>
    </row>
    <row r="11" spans="1:11" s="51" customFormat="1" ht="102.75" hidden="1" customHeight="1">
      <c r="A11" s="374"/>
      <c r="B11" s="374"/>
      <c r="C11" s="374"/>
      <c r="D11" s="378"/>
      <c r="E11" s="374"/>
      <c r="F11" s="374"/>
      <c r="G11" s="374"/>
      <c r="H11" s="373"/>
      <c r="I11" s="374"/>
    </row>
    <row r="12" spans="1:11" s="51" customFormat="1" ht="117" customHeight="1">
      <c r="E12" s="374" t="s">
        <v>236</v>
      </c>
      <c r="F12" s="374"/>
      <c r="G12" s="59" t="s">
        <v>237</v>
      </c>
    </row>
    <row r="13" spans="1:11" s="51" customFormat="1" ht="85.5" customHeight="1">
      <c r="E13" s="374" t="s">
        <v>238</v>
      </c>
      <c r="F13" s="374"/>
      <c r="G13" s="59" t="s">
        <v>239</v>
      </c>
    </row>
    <row r="14" spans="1:11" s="51" customFormat="1" ht="148.5" customHeight="1">
      <c r="E14" s="374" t="s">
        <v>240</v>
      </c>
      <c r="F14" s="374"/>
      <c r="G14" s="59" t="s">
        <v>241</v>
      </c>
    </row>
    <row r="15" spans="1:11" s="51" customFormat="1" ht="119.25" customHeight="1">
      <c r="E15" s="374" t="s">
        <v>242</v>
      </c>
      <c r="F15" s="374"/>
      <c r="G15" s="59"/>
    </row>
    <row r="16" spans="1:11" s="51" customFormat="1" ht="214.5" customHeight="1">
      <c r="E16" s="374" t="s">
        <v>243</v>
      </c>
      <c r="F16" s="374"/>
      <c r="G16" s="59" t="s">
        <v>244</v>
      </c>
    </row>
    <row r="17" spans="1:8" s="51" customFormat="1" ht="184.5" customHeight="1">
      <c r="E17" s="374" t="s">
        <v>245</v>
      </c>
      <c r="F17" s="374"/>
      <c r="G17" s="59" t="s">
        <v>246</v>
      </c>
    </row>
    <row r="18" spans="1:8" s="51" customFormat="1" ht="165.75" customHeight="1">
      <c r="E18" s="375" t="s">
        <v>247</v>
      </c>
      <c r="F18" s="373"/>
      <c r="G18" s="59" t="s">
        <v>248</v>
      </c>
      <c r="H18" s="63"/>
    </row>
    <row r="19" spans="1:8" s="51" customFormat="1" ht="111.75" customHeight="1">
      <c r="E19" s="59" t="s">
        <v>249</v>
      </c>
      <c r="F19" s="182"/>
      <c r="G19" s="63" t="s">
        <v>250</v>
      </c>
    </row>
    <row r="20" spans="1:8" s="51" customFormat="1" ht="207" customHeight="1">
      <c r="E20" s="59" t="s">
        <v>251</v>
      </c>
      <c r="F20" s="183"/>
      <c r="G20" s="184" t="s">
        <v>252</v>
      </c>
    </row>
    <row r="21" spans="1:8" s="51" customFormat="1" ht="90" customHeight="1">
      <c r="E21" s="185" t="s">
        <v>253</v>
      </c>
      <c r="F21" s="183"/>
      <c r="G21" s="184" t="s">
        <v>254</v>
      </c>
    </row>
    <row r="22" spans="1:8" s="51" customFormat="1" ht="35.1" customHeight="1">
      <c r="E22" s="185" t="s">
        <v>255</v>
      </c>
      <c r="F22" s="183"/>
    </row>
    <row r="23" spans="1:8" s="51" customFormat="1" ht="35.1" customHeight="1">
      <c r="E23" s="185" t="s">
        <v>256</v>
      </c>
      <c r="F23" s="186"/>
    </row>
    <row r="24" spans="1:8" s="51" customFormat="1" ht="35.1" customHeight="1">
      <c r="E24" s="185" t="s">
        <v>257</v>
      </c>
      <c r="F24" s="187"/>
    </row>
    <row r="25" spans="1:8" s="51" customFormat="1" ht="35.1" customHeight="1">
      <c r="E25" s="185" t="s">
        <v>258</v>
      </c>
      <c r="F25" s="188"/>
    </row>
    <row r="26" spans="1:8" s="51" customFormat="1" ht="75.75" customHeight="1">
      <c r="E26" s="189"/>
      <c r="F26" s="186"/>
    </row>
    <row r="27" spans="1:8" s="51" customFormat="1" ht="165" customHeight="1">
      <c r="E27" s="190"/>
      <c r="F27" s="187"/>
    </row>
    <row r="28" spans="1:8" s="51" customFormat="1" ht="174.75" customHeight="1">
      <c r="E28" s="191"/>
      <c r="F28" s="188"/>
    </row>
    <row r="29" spans="1:8" s="51" customFormat="1" ht="35.1" customHeight="1">
      <c r="E29" s="189"/>
      <c r="F29" s="186"/>
    </row>
    <row r="30" spans="1:8" s="51" customFormat="1" ht="35.1" customHeight="1">
      <c r="A30" s="192"/>
      <c r="E30" s="190"/>
      <c r="F30" s="187"/>
    </row>
    <row r="31" spans="1:8" s="51" customFormat="1" ht="35.1" customHeight="1">
      <c r="E31" s="191"/>
      <c r="F31" s="188"/>
    </row>
    <row r="32" spans="1:8" s="51" customFormat="1" ht="35.1" customHeight="1">
      <c r="E32" s="189"/>
      <c r="F32" s="186"/>
    </row>
    <row r="33" spans="5:6" s="51" customFormat="1" ht="35.1" customHeight="1">
      <c r="E33" s="190"/>
      <c r="F33" s="187"/>
    </row>
    <row r="34" spans="5:6" s="51" customFormat="1" ht="35.1" customHeight="1">
      <c r="E34" s="191"/>
      <c r="F34" s="188"/>
    </row>
    <row r="35" spans="5:6" s="51" customFormat="1" ht="35.1" customHeight="1">
      <c r="E35" s="189"/>
      <c r="F35" s="186"/>
    </row>
    <row r="36" spans="5:6" s="51" customFormat="1" ht="35.1" customHeight="1">
      <c r="E36" s="190"/>
      <c r="F36" s="187"/>
    </row>
    <row r="37" spans="5:6" s="51" customFormat="1" ht="35.1" customHeight="1">
      <c r="E37" s="191"/>
      <c r="F37" s="188"/>
    </row>
    <row r="38" spans="5:6" s="51" customFormat="1" ht="35.1" customHeight="1">
      <c r="E38" s="189"/>
      <c r="F38" s="186"/>
    </row>
    <row r="39" spans="5:6" s="51" customFormat="1" ht="35.1" customHeight="1">
      <c r="E39" s="190"/>
      <c r="F39" s="187"/>
    </row>
    <row r="40" spans="5:6" s="51" customFormat="1" ht="35.1" customHeight="1">
      <c r="E40" s="191"/>
      <c r="F40" s="188"/>
    </row>
    <row r="41" spans="5:6" s="51" customFormat="1" ht="13.5" customHeight="1">
      <c r="E41" s="189"/>
      <c r="F41" s="186"/>
    </row>
    <row r="42" spans="5:6" s="51" customFormat="1" ht="13.5" customHeight="1">
      <c r="E42" s="190"/>
      <c r="F42" s="187"/>
    </row>
    <row r="43" spans="5:6" s="51" customFormat="1" ht="13.5" customHeight="1">
      <c r="E43" s="191"/>
      <c r="F43" s="188"/>
    </row>
    <row r="44" spans="5:6" s="51" customFormat="1" ht="13.5" customHeight="1">
      <c r="E44" s="189"/>
      <c r="F44" s="186"/>
    </row>
  </sheetData>
  <mergeCells count="28">
    <mergeCell ref="H8:I8"/>
    <mergeCell ref="A1:I1"/>
    <mergeCell ref="A2:I2"/>
    <mergeCell ref="H3:I3"/>
    <mergeCell ref="A4:D4"/>
    <mergeCell ref="H4:I4"/>
    <mergeCell ref="A5:D5"/>
    <mergeCell ref="H5:I5"/>
    <mergeCell ref="E15:F15"/>
    <mergeCell ref="E16:F16"/>
    <mergeCell ref="E17:F17"/>
    <mergeCell ref="A6:B6"/>
    <mergeCell ref="C6:G6"/>
    <mergeCell ref="H6:I6"/>
    <mergeCell ref="C7:G7"/>
    <mergeCell ref="H7:I7"/>
    <mergeCell ref="A8:B8"/>
    <mergeCell ref="E8:F8"/>
    <mergeCell ref="H9:I11"/>
    <mergeCell ref="E18:F18"/>
    <mergeCell ref="C9:C11"/>
    <mergeCell ref="D9:D11"/>
    <mergeCell ref="G9:G11"/>
    <mergeCell ref="A9:B11"/>
    <mergeCell ref="E9:F11"/>
    <mergeCell ref="E12:F12"/>
    <mergeCell ref="E13:F13"/>
    <mergeCell ref="E14:F14"/>
  </mergeCells>
  <phoneticPr fontId="23"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F533-4856-4CE7-95D7-CB952E9783FF}">
  <dimension ref="A1:AU79"/>
  <sheetViews>
    <sheetView topLeftCell="E8" workbookViewId="0">
      <pane ySplit="4" topLeftCell="A27" activePane="bottomLeft" state="frozen"/>
      <selection pane="bottomLeft" activeCell="G12" sqref="G12:G39"/>
    </sheetView>
  </sheetViews>
  <sheetFormatPr defaultColWidth="7.86328125" defaultRowHeight="13.5"/>
  <cols>
    <col min="1" max="1" width="5.3984375" style="85" customWidth="1"/>
    <col min="2" max="2" width="10.265625" style="85" customWidth="1"/>
    <col min="3" max="3" width="7.3984375" style="85" customWidth="1"/>
    <col min="4" max="4" width="9.46484375" style="86" customWidth="1" collapsed="1"/>
    <col min="5" max="5" width="9.46484375" style="85" customWidth="1" collapsed="1"/>
    <col min="6" max="6" width="16" style="85" customWidth="1"/>
    <col min="7" max="7" width="19" style="85" customWidth="1"/>
    <col min="8" max="8" width="19.3984375" style="76" customWidth="1" collapsed="1"/>
    <col min="9" max="9" width="19" style="76" customWidth="1"/>
    <col min="10" max="10" width="4.59765625" style="85" customWidth="1"/>
    <col min="11" max="11" width="13.73046875" style="85" customWidth="1"/>
    <col min="12" max="12" width="16" style="76" customWidth="1"/>
    <col min="13" max="13" width="20.73046875" style="85" customWidth="1"/>
    <col min="14" max="14" width="4.59765625" style="85" customWidth="1"/>
    <col min="15" max="15" width="15" style="85" customWidth="1"/>
    <col min="16" max="16" width="4.59765625" style="85" customWidth="1"/>
    <col min="17" max="17" width="4.59765625" style="87" customWidth="1" collapsed="1"/>
    <col min="18" max="18" width="7.73046875" style="87" customWidth="1"/>
    <col min="19" max="19" width="10.73046875" style="87" customWidth="1"/>
    <col min="20" max="20" width="8.46484375" style="87" customWidth="1"/>
    <col min="21" max="21" width="9.1328125" style="87" customWidth="1"/>
    <col min="22" max="22" width="6.86328125" style="87" customWidth="1"/>
    <col min="23" max="23" width="7.86328125" style="87" customWidth="1"/>
    <col min="24" max="24" width="8.265625" style="87" customWidth="1"/>
    <col min="25" max="25" width="3" style="87" customWidth="1"/>
    <col min="26" max="28" width="3" style="87" customWidth="1" collapsed="1"/>
    <col min="29" max="29" width="7.86328125" style="87" customWidth="1"/>
    <col min="30" max="30" width="0.3984375" style="87" customWidth="1"/>
    <col min="31" max="47" width="7.86328125" style="88"/>
    <col min="48" max="16384" width="7.86328125" style="89"/>
  </cols>
  <sheetData>
    <row r="1" spans="1:47" ht="46.5" hidden="1" customHeight="1">
      <c r="A1" s="445" t="s">
        <v>259</v>
      </c>
      <c r="B1" s="445"/>
      <c r="C1" s="445"/>
      <c r="D1" s="445"/>
      <c r="E1" s="445"/>
      <c r="F1" s="445"/>
      <c r="G1" s="445"/>
      <c r="H1" s="446"/>
      <c r="I1" s="446"/>
      <c r="J1" s="445"/>
      <c r="K1" s="445"/>
      <c r="L1" s="447"/>
      <c r="M1" s="445"/>
      <c r="N1" s="445"/>
      <c r="O1" s="445"/>
      <c r="P1" s="445"/>
      <c r="Q1" s="445"/>
      <c r="R1" s="445"/>
      <c r="S1" s="445"/>
      <c r="T1" s="445"/>
      <c r="U1" s="445"/>
      <c r="V1" s="445"/>
      <c r="W1" s="445"/>
      <c r="X1" s="445"/>
      <c r="Y1" s="448"/>
      <c r="Z1" s="448"/>
      <c r="AA1" s="448"/>
      <c r="AB1" s="448"/>
      <c r="AC1" s="448"/>
      <c r="AD1" s="172"/>
      <c r="AE1" s="172"/>
      <c r="AF1" s="172"/>
      <c r="AG1" s="172"/>
      <c r="AH1" s="172"/>
      <c r="AI1" s="172"/>
      <c r="AJ1" s="172"/>
      <c r="AK1" s="172"/>
      <c r="AL1" s="172"/>
      <c r="AM1" s="172"/>
      <c r="AN1" s="172"/>
      <c r="AO1" s="172"/>
      <c r="AP1" s="172"/>
      <c r="AQ1" s="172"/>
      <c r="AR1" s="172"/>
      <c r="AS1" s="172"/>
    </row>
    <row r="2" spans="1:47" ht="18.75" hidden="1" customHeight="1">
      <c r="A2" s="449" t="s">
        <v>260</v>
      </c>
      <c r="B2" s="449"/>
      <c r="C2" s="449"/>
      <c r="D2" s="449"/>
      <c r="E2" s="449"/>
      <c r="F2" s="449"/>
      <c r="G2" s="449"/>
      <c r="H2" s="450"/>
    </row>
    <row r="3" spans="1:47" s="75" customFormat="1" ht="38.1" hidden="1" customHeight="1">
      <c r="A3" s="417" t="s">
        <v>261</v>
      </c>
      <c r="B3" s="417"/>
      <c r="C3" s="417"/>
      <c r="D3" s="440" t="s">
        <v>262</v>
      </c>
      <c r="E3" s="440"/>
      <c r="F3" s="440"/>
      <c r="G3" s="440"/>
      <c r="H3" s="421"/>
      <c r="I3" s="421" t="s">
        <v>263</v>
      </c>
      <c r="J3" s="417"/>
      <c r="K3" s="417"/>
      <c r="L3" s="434" t="s">
        <v>264</v>
      </c>
      <c r="M3" s="435"/>
      <c r="N3" s="435"/>
      <c r="O3" s="435"/>
      <c r="P3" s="435"/>
      <c r="Q3" s="435"/>
      <c r="R3" s="441" t="s">
        <v>265</v>
      </c>
      <c r="S3" s="441"/>
      <c r="T3" s="436" t="s">
        <v>262</v>
      </c>
      <c r="U3" s="438"/>
      <c r="V3" s="437"/>
      <c r="W3" s="441" t="s">
        <v>266</v>
      </c>
      <c r="X3" s="441"/>
      <c r="Y3" s="436" t="s">
        <v>267</v>
      </c>
      <c r="Z3" s="438"/>
      <c r="AA3" s="438"/>
      <c r="AB3" s="438"/>
      <c r="AC3" s="437"/>
      <c r="AD3" s="173"/>
      <c r="AE3" s="173"/>
      <c r="AF3" s="173"/>
      <c r="AG3" s="173"/>
      <c r="AH3" s="173"/>
      <c r="AI3" s="173"/>
      <c r="AJ3" s="173"/>
      <c r="AK3" s="173"/>
      <c r="AL3" s="173"/>
      <c r="AM3" s="173"/>
      <c r="AN3" s="173"/>
      <c r="AO3" s="173"/>
      <c r="AP3" s="173"/>
      <c r="AQ3" s="173"/>
      <c r="AR3" s="173"/>
      <c r="AS3" s="173"/>
      <c r="AT3" s="173"/>
      <c r="AU3" s="173"/>
    </row>
    <row r="4" spans="1:47" s="75" customFormat="1" ht="38.1" hidden="1" customHeight="1">
      <c r="A4" s="417" t="s">
        <v>268</v>
      </c>
      <c r="B4" s="417"/>
      <c r="C4" s="417"/>
      <c r="D4" s="440" t="s">
        <v>262</v>
      </c>
      <c r="E4" s="440"/>
      <c r="F4" s="440"/>
      <c r="G4" s="440"/>
      <c r="H4" s="421"/>
      <c r="I4" s="421" t="s">
        <v>269</v>
      </c>
      <c r="J4" s="417"/>
      <c r="K4" s="417"/>
      <c r="L4" s="434" t="s">
        <v>270</v>
      </c>
      <c r="M4" s="435"/>
      <c r="N4" s="435"/>
      <c r="O4" s="435"/>
      <c r="P4" s="435"/>
      <c r="Q4" s="435"/>
      <c r="R4" s="441" t="s">
        <v>271</v>
      </c>
      <c r="S4" s="441"/>
      <c r="T4" s="442"/>
      <c r="U4" s="443"/>
      <c r="V4" s="444"/>
      <c r="W4" s="441" t="s">
        <v>272</v>
      </c>
      <c r="X4" s="441"/>
      <c r="Y4" s="436" t="s">
        <v>273</v>
      </c>
      <c r="Z4" s="438"/>
      <c r="AA4" s="438"/>
      <c r="AB4" s="438"/>
      <c r="AC4" s="437"/>
      <c r="AD4" s="173"/>
      <c r="AE4" s="173"/>
      <c r="AF4" s="173"/>
      <c r="AG4" s="173"/>
      <c r="AH4" s="173"/>
      <c r="AI4" s="173"/>
      <c r="AJ4" s="173"/>
      <c r="AK4" s="173"/>
      <c r="AL4" s="173"/>
      <c r="AM4" s="173"/>
      <c r="AN4" s="173"/>
      <c r="AO4" s="173"/>
      <c r="AP4" s="173"/>
      <c r="AQ4" s="173"/>
      <c r="AR4" s="173"/>
      <c r="AS4" s="173"/>
      <c r="AT4" s="173"/>
      <c r="AU4" s="173"/>
    </row>
    <row r="5" spans="1:47" s="75" customFormat="1" ht="38.1" hidden="1" customHeight="1">
      <c r="A5" s="417" t="s">
        <v>274</v>
      </c>
      <c r="B5" s="417"/>
      <c r="C5" s="417"/>
      <c r="D5" s="435"/>
      <c r="E5" s="435"/>
      <c r="F5" s="435"/>
      <c r="G5" s="435"/>
      <c r="H5" s="439"/>
      <c r="I5" s="421" t="s">
        <v>275</v>
      </c>
      <c r="J5" s="417"/>
      <c r="K5" s="417"/>
      <c r="L5" s="417"/>
      <c r="M5" s="440"/>
      <c r="N5" s="440"/>
      <c r="O5" s="440"/>
      <c r="P5" s="440"/>
      <c r="Q5" s="440"/>
      <c r="R5" s="441" t="s">
        <v>276</v>
      </c>
      <c r="S5" s="441"/>
      <c r="T5" s="442" t="s">
        <v>277</v>
      </c>
      <c r="U5" s="443"/>
      <c r="V5" s="443"/>
      <c r="W5" s="443"/>
      <c r="X5" s="443"/>
      <c r="Y5" s="443"/>
      <c r="Z5" s="443"/>
      <c r="AA5" s="443"/>
      <c r="AB5" s="443"/>
      <c r="AC5" s="444"/>
      <c r="AD5" s="173"/>
      <c r="AE5" s="173"/>
      <c r="AF5" s="173"/>
      <c r="AG5" s="173"/>
      <c r="AH5" s="173"/>
      <c r="AI5" s="173"/>
      <c r="AJ5" s="173"/>
      <c r="AK5" s="173"/>
      <c r="AL5" s="173"/>
      <c r="AM5" s="173"/>
      <c r="AN5" s="173"/>
      <c r="AO5" s="173"/>
      <c r="AP5" s="173"/>
      <c r="AQ5" s="173"/>
      <c r="AR5" s="173"/>
      <c r="AS5" s="173"/>
      <c r="AT5" s="173"/>
      <c r="AU5" s="173"/>
    </row>
    <row r="6" spans="1:47" s="75" customFormat="1" ht="38.1" hidden="1" customHeight="1">
      <c r="A6" s="422" t="s">
        <v>278</v>
      </c>
      <c r="B6" s="431"/>
      <c r="C6" s="432"/>
      <c r="D6" s="418"/>
      <c r="E6" s="419"/>
      <c r="F6" s="419"/>
      <c r="G6" s="419"/>
      <c r="H6" s="420"/>
      <c r="I6" s="433" t="s">
        <v>279</v>
      </c>
      <c r="J6" s="431"/>
      <c r="K6" s="432"/>
      <c r="L6" s="434"/>
      <c r="M6" s="435"/>
      <c r="N6" s="435"/>
      <c r="O6" s="435"/>
      <c r="P6" s="435"/>
      <c r="Q6" s="435"/>
      <c r="R6" s="436" t="s">
        <v>280</v>
      </c>
      <c r="S6" s="437"/>
      <c r="T6" s="436" t="s">
        <v>281</v>
      </c>
      <c r="U6" s="438"/>
      <c r="V6" s="438"/>
      <c r="W6" s="438"/>
      <c r="X6" s="438"/>
      <c r="Y6" s="438"/>
      <c r="Z6" s="438"/>
      <c r="AA6" s="438"/>
      <c r="AB6" s="438"/>
      <c r="AC6" s="437"/>
      <c r="AD6" s="173"/>
      <c r="AE6" s="173"/>
      <c r="AF6" s="173"/>
      <c r="AG6" s="173"/>
      <c r="AH6" s="173"/>
      <c r="AI6" s="173"/>
      <c r="AJ6" s="173"/>
      <c r="AK6" s="173"/>
      <c r="AL6" s="173"/>
      <c r="AM6" s="173"/>
      <c r="AN6" s="173"/>
      <c r="AO6" s="173"/>
      <c r="AP6" s="173"/>
      <c r="AQ6" s="173"/>
      <c r="AR6" s="173"/>
      <c r="AS6" s="173"/>
      <c r="AT6" s="173"/>
      <c r="AU6" s="173"/>
    </row>
    <row r="7" spans="1:47" s="75" customFormat="1" ht="38.1" hidden="1" customHeight="1">
      <c r="A7" s="417" t="s">
        <v>282</v>
      </c>
      <c r="B7" s="417"/>
      <c r="C7" s="417"/>
      <c r="D7" s="418"/>
      <c r="E7" s="419"/>
      <c r="F7" s="419"/>
      <c r="G7" s="419"/>
      <c r="H7" s="420"/>
      <c r="I7" s="421" t="s">
        <v>283</v>
      </c>
      <c r="J7" s="417"/>
      <c r="K7" s="417"/>
      <c r="L7" s="422" t="s">
        <v>284</v>
      </c>
      <c r="M7" s="423"/>
      <c r="N7" s="423"/>
      <c r="O7" s="423"/>
      <c r="P7" s="423"/>
      <c r="Q7" s="423"/>
      <c r="R7" s="423"/>
      <c r="S7" s="423"/>
      <c r="T7" s="423"/>
      <c r="U7" s="423"/>
      <c r="V7" s="423"/>
      <c r="W7" s="423"/>
      <c r="X7" s="423"/>
      <c r="Y7" s="423"/>
      <c r="Z7" s="423"/>
      <c r="AA7" s="423"/>
      <c r="AB7" s="423"/>
      <c r="AC7" s="424"/>
      <c r="AD7" s="173"/>
      <c r="AE7" s="173"/>
      <c r="AF7" s="173"/>
      <c r="AG7" s="173"/>
      <c r="AH7" s="173"/>
      <c r="AI7" s="173"/>
      <c r="AJ7" s="173"/>
      <c r="AK7" s="173"/>
      <c r="AL7" s="173"/>
      <c r="AM7" s="173"/>
      <c r="AN7" s="173"/>
      <c r="AO7" s="173"/>
      <c r="AP7" s="173"/>
      <c r="AQ7" s="173"/>
      <c r="AR7" s="173"/>
      <c r="AS7" s="173"/>
      <c r="AT7" s="173"/>
      <c r="AU7" s="173"/>
    </row>
    <row r="8" spans="1:47" s="76" customFormat="1" ht="12.75" customHeight="1">
      <c r="A8" s="90"/>
      <c r="D8" s="91"/>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row>
    <row r="9" spans="1:47" s="76" customFormat="1" ht="38.25" customHeight="1">
      <c r="A9" s="425" t="s">
        <v>285</v>
      </c>
      <c r="B9" s="425"/>
      <c r="C9" s="426" t="s">
        <v>286</v>
      </c>
      <c r="D9" s="426"/>
      <c r="E9" s="426"/>
      <c r="F9" s="426" t="s">
        <v>287</v>
      </c>
      <c r="G9" s="426"/>
      <c r="H9" s="427"/>
      <c r="I9" s="427" t="s">
        <v>288</v>
      </c>
      <c r="J9" s="426"/>
      <c r="K9" s="426"/>
      <c r="L9" s="426"/>
      <c r="M9" s="428" t="s">
        <v>289</v>
      </c>
      <c r="N9" s="428"/>
      <c r="O9" s="428"/>
      <c r="P9" s="428"/>
      <c r="Q9" s="428"/>
      <c r="R9" s="429" t="s">
        <v>290</v>
      </c>
      <c r="S9" s="430"/>
      <c r="T9" s="430"/>
      <c r="U9" s="430"/>
      <c r="V9" s="430"/>
      <c r="W9" s="430"/>
      <c r="X9" s="430"/>
      <c r="Y9" s="430"/>
      <c r="Z9" s="430"/>
      <c r="AA9" s="430"/>
      <c r="AB9" s="430"/>
      <c r="AC9" s="404" t="s">
        <v>291</v>
      </c>
      <c r="AD9" s="87"/>
      <c r="AE9" s="87"/>
      <c r="AF9" s="87"/>
      <c r="AG9" s="87"/>
      <c r="AH9" s="87"/>
      <c r="AI9" s="87"/>
      <c r="AJ9" s="87"/>
      <c r="AK9" s="87"/>
      <c r="AL9" s="87"/>
      <c r="AM9" s="87"/>
      <c r="AN9" s="87"/>
      <c r="AO9" s="87"/>
      <c r="AP9" s="87"/>
      <c r="AQ9" s="87"/>
      <c r="AR9" s="87"/>
      <c r="AS9" s="87"/>
      <c r="AT9" s="87"/>
      <c r="AU9" s="87"/>
    </row>
    <row r="10" spans="1:47" s="75" customFormat="1" ht="81" customHeight="1">
      <c r="A10" s="92" t="s">
        <v>292</v>
      </c>
      <c r="B10" s="93" t="s">
        <v>293</v>
      </c>
      <c r="C10" s="94" t="s">
        <v>294</v>
      </c>
      <c r="D10" s="95" t="s">
        <v>295</v>
      </c>
      <c r="E10" s="96" t="s">
        <v>296</v>
      </c>
      <c r="F10" s="97" t="s">
        <v>297</v>
      </c>
      <c r="G10" s="95" t="s">
        <v>298</v>
      </c>
      <c r="H10" s="96" t="s">
        <v>299</v>
      </c>
      <c r="I10" s="131" t="s">
        <v>300</v>
      </c>
      <c r="J10" s="132" t="s">
        <v>301</v>
      </c>
      <c r="K10" s="95" t="s">
        <v>302</v>
      </c>
      <c r="L10" s="131" t="s">
        <v>303</v>
      </c>
      <c r="M10" s="133" t="s">
        <v>304</v>
      </c>
      <c r="N10" s="132" t="s">
        <v>305</v>
      </c>
      <c r="O10" s="133" t="s">
        <v>306</v>
      </c>
      <c r="P10" s="132" t="s">
        <v>307</v>
      </c>
      <c r="Q10" s="158" t="s">
        <v>308</v>
      </c>
      <c r="R10" s="159" t="s">
        <v>309</v>
      </c>
      <c r="S10" s="159" t="s">
        <v>310</v>
      </c>
      <c r="T10" s="159" t="s">
        <v>311</v>
      </c>
      <c r="U10" s="159" t="s">
        <v>312</v>
      </c>
      <c r="V10" s="159" t="s">
        <v>313</v>
      </c>
      <c r="W10" s="159" t="s">
        <v>314</v>
      </c>
      <c r="X10" s="159" t="s">
        <v>315</v>
      </c>
      <c r="Y10" s="158" t="s">
        <v>316</v>
      </c>
      <c r="Z10" s="158" t="s">
        <v>317</v>
      </c>
      <c r="AA10" s="158" t="s">
        <v>318</v>
      </c>
      <c r="AB10" s="158" t="s">
        <v>319</v>
      </c>
      <c r="AC10" s="405"/>
      <c r="AD10" s="173"/>
      <c r="AE10" s="173"/>
      <c r="AF10" s="173"/>
      <c r="AG10" s="173"/>
      <c r="AH10" s="173"/>
      <c r="AI10" s="173"/>
      <c r="AJ10" s="173"/>
      <c r="AK10" s="173"/>
      <c r="AL10" s="173"/>
      <c r="AM10" s="173"/>
      <c r="AN10" s="173"/>
      <c r="AO10" s="173"/>
      <c r="AP10" s="173"/>
      <c r="AQ10" s="173"/>
      <c r="AR10" s="173"/>
      <c r="AS10" s="173"/>
      <c r="AT10" s="173"/>
      <c r="AU10" s="173"/>
    </row>
    <row r="11" spans="1:47" s="77" customFormat="1" ht="72" customHeight="1">
      <c r="A11" s="98"/>
      <c r="B11" s="98"/>
      <c r="C11" s="406" t="s">
        <v>320</v>
      </c>
      <c r="D11" s="406" t="s">
        <v>67</v>
      </c>
      <c r="E11" s="99" t="s">
        <v>321</v>
      </c>
      <c r="F11" s="100" t="s">
        <v>322</v>
      </c>
      <c r="G11" s="99" t="s">
        <v>323</v>
      </c>
      <c r="H11" s="99" t="s">
        <v>324</v>
      </c>
      <c r="I11" s="99" t="s">
        <v>325</v>
      </c>
      <c r="J11" s="100">
        <v>7</v>
      </c>
      <c r="K11" s="100" t="s">
        <v>326</v>
      </c>
      <c r="L11" s="99" t="s">
        <v>75</v>
      </c>
      <c r="M11" s="99" t="s">
        <v>77</v>
      </c>
      <c r="N11" s="100" t="s">
        <v>76</v>
      </c>
      <c r="O11" s="99" t="s">
        <v>327</v>
      </c>
      <c r="P11" s="100">
        <v>2</v>
      </c>
      <c r="Q11" s="160" t="str">
        <f>算分!AD13</f>
        <v>L</v>
      </c>
      <c r="R11" s="161"/>
      <c r="S11" s="162"/>
      <c r="T11" s="161" t="s">
        <v>262</v>
      </c>
      <c r="U11" s="163"/>
      <c r="V11" s="161" t="s">
        <v>262</v>
      </c>
      <c r="W11" s="164" t="s">
        <v>262</v>
      </c>
      <c r="X11" s="163"/>
      <c r="Y11" s="161" t="s">
        <v>262</v>
      </c>
      <c r="Z11" s="161" t="s">
        <v>262</v>
      </c>
      <c r="AA11" s="161" t="s">
        <v>262</v>
      </c>
      <c r="AB11" s="161" t="s">
        <v>262</v>
      </c>
      <c r="AC11" s="174"/>
      <c r="AD11" s="87"/>
      <c r="AE11" s="88"/>
      <c r="AF11" s="88"/>
      <c r="AG11" s="88"/>
      <c r="AH11" s="88"/>
      <c r="AI11" s="88"/>
      <c r="AJ11" s="88"/>
      <c r="AK11" s="88"/>
      <c r="AL11" s="88"/>
      <c r="AM11" s="88"/>
      <c r="AN11" s="88"/>
      <c r="AO11" s="88"/>
      <c r="AP11" s="88"/>
      <c r="AQ11" s="88"/>
      <c r="AR11" s="88"/>
      <c r="AS11" s="88"/>
      <c r="AT11" s="88"/>
      <c r="AU11" s="88"/>
    </row>
    <row r="12" spans="1:47" s="78" customFormat="1" ht="126.6" customHeight="1">
      <c r="A12" s="101"/>
      <c r="B12" s="101"/>
      <c r="C12" s="407"/>
      <c r="D12" s="407"/>
      <c r="E12" s="102" t="s">
        <v>321</v>
      </c>
      <c r="F12" s="397" t="s">
        <v>328</v>
      </c>
      <c r="G12" s="397" t="s">
        <v>329</v>
      </c>
      <c r="H12" s="103" t="s">
        <v>330</v>
      </c>
      <c r="I12" s="397" t="s">
        <v>331</v>
      </c>
      <c r="J12" s="134">
        <v>7</v>
      </c>
      <c r="K12" s="397" t="s">
        <v>332</v>
      </c>
      <c r="L12" s="102" t="s">
        <v>83</v>
      </c>
      <c r="M12" s="102" t="s">
        <v>333</v>
      </c>
      <c r="N12" s="135">
        <v>2</v>
      </c>
      <c r="O12" s="135" t="s">
        <v>334</v>
      </c>
      <c r="P12" s="135">
        <v>4</v>
      </c>
      <c r="Q12" s="160" t="str">
        <f>算分!AD14</f>
        <v>L</v>
      </c>
      <c r="R12" s="161"/>
      <c r="S12" s="162"/>
      <c r="T12" s="165"/>
      <c r="U12" s="163"/>
      <c r="V12" s="165"/>
      <c r="W12" s="166"/>
      <c r="X12" s="163"/>
      <c r="Y12" s="161"/>
      <c r="Z12" s="161"/>
      <c r="AA12" s="161"/>
      <c r="AB12" s="161"/>
      <c r="AC12" s="174"/>
      <c r="AD12" s="87"/>
      <c r="AE12" s="88"/>
      <c r="AF12" s="88"/>
    </row>
    <row r="13" spans="1:47" s="78" customFormat="1" ht="82.5" customHeight="1">
      <c r="A13" s="101"/>
      <c r="B13" s="101"/>
      <c r="C13" s="407"/>
      <c r="D13" s="407"/>
      <c r="E13" s="102" t="s">
        <v>321</v>
      </c>
      <c r="F13" s="397"/>
      <c r="G13" s="397"/>
      <c r="H13" s="103" t="s">
        <v>335</v>
      </c>
      <c r="I13" s="397"/>
      <c r="J13" s="134">
        <v>7</v>
      </c>
      <c r="K13" s="397"/>
      <c r="L13" s="102" t="s">
        <v>336</v>
      </c>
      <c r="M13" s="102" t="s">
        <v>337</v>
      </c>
      <c r="N13" s="135">
        <v>2</v>
      </c>
      <c r="O13" s="102" t="s">
        <v>338</v>
      </c>
      <c r="P13" s="135">
        <v>4</v>
      </c>
      <c r="Q13" s="160" t="str">
        <f>算分!AD15</f>
        <v>L</v>
      </c>
      <c r="R13" s="161"/>
      <c r="S13" s="162"/>
      <c r="T13" s="161"/>
      <c r="U13" s="163"/>
      <c r="V13" s="161"/>
      <c r="W13" s="164"/>
      <c r="X13" s="163"/>
      <c r="Y13" s="161"/>
      <c r="Z13" s="161"/>
      <c r="AA13" s="161"/>
      <c r="AB13" s="161"/>
      <c r="AC13" s="174"/>
      <c r="AD13" s="87"/>
      <c r="AE13" s="88"/>
      <c r="AF13" s="88"/>
    </row>
    <row r="14" spans="1:47" s="78" customFormat="1" ht="126.75" customHeight="1">
      <c r="A14" s="101"/>
      <c r="B14" s="101"/>
      <c r="C14" s="407"/>
      <c r="D14" s="407"/>
      <c r="E14" s="102" t="s">
        <v>321</v>
      </c>
      <c r="F14" s="397"/>
      <c r="G14" s="397"/>
      <c r="H14" s="103"/>
      <c r="I14" s="397"/>
      <c r="J14" s="134">
        <v>7</v>
      </c>
      <c r="K14" s="397"/>
      <c r="L14" s="102" t="s">
        <v>339</v>
      </c>
      <c r="M14" s="102" t="s">
        <v>340</v>
      </c>
      <c r="N14" s="135">
        <v>2</v>
      </c>
      <c r="O14" s="102" t="s">
        <v>338</v>
      </c>
      <c r="P14" s="135">
        <v>4</v>
      </c>
      <c r="Q14" s="160" t="str">
        <f>算分!AD16</f>
        <v>L</v>
      </c>
      <c r="R14" s="161"/>
      <c r="S14" s="162"/>
      <c r="T14" s="161"/>
      <c r="U14" s="163"/>
      <c r="V14" s="161"/>
      <c r="W14" s="164"/>
      <c r="X14" s="163"/>
      <c r="Y14" s="161"/>
      <c r="Z14" s="161"/>
      <c r="AA14" s="161"/>
      <c r="AB14" s="161"/>
      <c r="AC14" s="174"/>
      <c r="AD14" s="87"/>
      <c r="AE14" s="88"/>
      <c r="AF14" s="88"/>
    </row>
    <row r="15" spans="1:47" s="78" customFormat="1" ht="126.75" customHeight="1">
      <c r="A15" s="101"/>
      <c r="B15" s="101"/>
      <c r="C15" s="407"/>
      <c r="D15" s="407"/>
      <c r="E15" s="102" t="s">
        <v>321</v>
      </c>
      <c r="F15" s="397"/>
      <c r="G15" s="397"/>
      <c r="H15" s="104"/>
      <c r="I15" s="397"/>
      <c r="J15" s="134">
        <v>7</v>
      </c>
      <c r="K15" s="397"/>
      <c r="L15" s="102" t="s">
        <v>95</v>
      </c>
      <c r="M15" s="135" t="s">
        <v>96</v>
      </c>
      <c r="N15" s="135">
        <v>1</v>
      </c>
      <c r="O15" s="102" t="s">
        <v>341</v>
      </c>
      <c r="P15" s="135">
        <v>5</v>
      </c>
      <c r="Q15" s="160" t="str">
        <f>算分!AD17</f>
        <v>L</v>
      </c>
      <c r="R15" s="88"/>
      <c r="S15" s="162"/>
      <c r="T15" s="161"/>
      <c r="U15" s="163"/>
      <c r="V15" s="161"/>
      <c r="W15" s="164"/>
      <c r="X15" s="163"/>
      <c r="Y15" s="161"/>
      <c r="Z15" s="161"/>
      <c r="AA15" s="161"/>
      <c r="AB15" s="161"/>
      <c r="AC15" s="174"/>
      <c r="AD15" s="87"/>
      <c r="AE15" s="88"/>
      <c r="AF15" s="88"/>
    </row>
    <row r="16" spans="1:47" s="78" customFormat="1" ht="126.75" customHeight="1">
      <c r="A16" s="101"/>
      <c r="B16" s="101"/>
      <c r="C16" s="407"/>
      <c r="D16" s="407"/>
      <c r="E16" s="102" t="s">
        <v>321</v>
      </c>
      <c r="F16" s="397"/>
      <c r="G16" s="397"/>
      <c r="H16" s="105"/>
      <c r="I16" s="397"/>
      <c r="J16" s="134">
        <v>7</v>
      </c>
      <c r="K16" s="397"/>
      <c r="L16" s="102" t="s">
        <v>342</v>
      </c>
      <c r="M16" s="135" t="s">
        <v>102</v>
      </c>
      <c r="N16" s="135">
        <v>2</v>
      </c>
      <c r="O16" s="102" t="s">
        <v>343</v>
      </c>
      <c r="P16" s="135">
        <v>4</v>
      </c>
      <c r="Q16" s="160" t="str">
        <f>算分!AD18</f>
        <v>L</v>
      </c>
      <c r="R16" s="88"/>
      <c r="S16" s="162"/>
      <c r="T16" s="161"/>
      <c r="U16" s="163"/>
      <c r="V16" s="161"/>
      <c r="W16" s="164"/>
      <c r="X16" s="163"/>
      <c r="Y16" s="161"/>
      <c r="Z16" s="161"/>
      <c r="AA16" s="161"/>
      <c r="AB16" s="161"/>
      <c r="AC16" s="174"/>
      <c r="AD16" s="87"/>
      <c r="AE16" s="88"/>
      <c r="AF16" s="88"/>
    </row>
    <row r="17" spans="1:32" s="78" customFormat="1" ht="126.75" customHeight="1">
      <c r="A17" s="101"/>
      <c r="B17" s="101"/>
      <c r="C17" s="407"/>
      <c r="D17" s="407"/>
      <c r="E17" s="102" t="s">
        <v>344</v>
      </c>
      <c r="F17" s="397"/>
      <c r="G17" s="397"/>
      <c r="H17" s="397" t="s">
        <v>345</v>
      </c>
      <c r="I17" s="397"/>
      <c r="J17" s="134">
        <v>7</v>
      </c>
      <c r="K17" s="397"/>
      <c r="L17" s="102" t="s">
        <v>104</v>
      </c>
      <c r="M17" s="102" t="s">
        <v>105</v>
      </c>
      <c r="N17" s="135">
        <v>1</v>
      </c>
      <c r="O17" s="135" t="s">
        <v>346</v>
      </c>
      <c r="P17" s="135">
        <v>6</v>
      </c>
      <c r="Q17" s="160" t="str">
        <f>算分!AD19</f>
        <v>L</v>
      </c>
      <c r="R17" s="161"/>
      <c r="S17" s="162"/>
      <c r="T17" s="161"/>
      <c r="U17" s="163"/>
      <c r="V17" s="161"/>
      <c r="W17" s="164"/>
      <c r="X17" s="163"/>
      <c r="Y17" s="161"/>
      <c r="Z17" s="161"/>
      <c r="AA17" s="161"/>
      <c r="AB17" s="161"/>
      <c r="AC17" s="174"/>
      <c r="AD17" s="87"/>
      <c r="AE17" s="88"/>
      <c r="AF17" s="88"/>
    </row>
    <row r="18" spans="1:32" s="78" customFormat="1" ht="90" customHeight="1">
      <c r="A18" s="106"/>
      <c r="B18" s="106"/>
      <c r="C18" s="407"/>
      <c r="D18" s="407"/>
      <c r="E18" s="102" t="s">
        <v>344</v>
      </c>
      <c r="F18" s="397"/>
      <c r="G18" s="397"/>
      <c r="H18" s="397"/>
      <c r="I18" s="397"/>
      <c r="J18" s="134">
        <v>7</v>
      </c>
      <c r="K18" s="397"/>
      <c r="L18" s="102" t="s">
        <v>108</v>
      </c>
      <c r="M18" s="135" t="s">
        <v>96</v>
      </c>
      <c r="N18" s="135">
        <v>1</v>
      </c>
      <c r="O18" s="102" t="s">
        <v>341</v>
      </c>
      <c r="P18" s="135">
        <v>5</v>
      </c>
      <c r="Q18" s="160" t="str">
        <f>算分!AD20</f>
        <v>L</v>
      </c>
      <c r="R18" s="87"/>
      <c r="S18" s="162"/>
      <c r="T18" s="167"/>
      <c r="U18" s="167"/>
      <c r="V18" s="167"/>
      <c r="W18" s="167"/>
      <c r="X18" s="167"/>
      <c r="Y18" s="167"/>
      <c r="Z18" s="167"/>
      <c r="AA18" s="167"/>
      <c r="AB18" s="167"/>
      <c r="AC18" s="87"/>
      <c r="AD18" s="87"/>
      <c r="AE18" s="88"/>
      <c r="AF18" s="88"/>
    </row>
    <row r="19" spans="1:32" s="78" customFormat="1" ht="90" customHeight="1">
      <c r="A19" s="106"/>
      <c r="B19" s="106"/>
      <c r="C19" s="407"/>
      <c r="D19" s="407"/>
      <c r="E19" s="107" t="s">
        <v>347</v>
      </c>
      <c r="F19" s="397"/>
      <c r="G19" s="397"/>
      <c r="H19" s="397" t="s">
        <v>348</v>
      </c>
      <c r="I19" s="397"/>
      <c r="J19" s="134">
        <v>7</v>
      </c>
      <c r="K19" s="397"/>
      <c r="L19" s="136" t="s">
        <v>109</v>
      </c>
      <c r="M19" s="102" t="s">
        <v>110</v>
      </c>
      <c r="N19" s="135">
        <v>3</v>
      </c>
      <c r="O19" s="135" t="s">
        <v>349</v>
      </c>
      <c r="P19" s="135">
        <v>4</v>
      </c>
      <c r="Q19" s="160" t="str">
        <f>算分!AD21</f>
        <v>L</v>
      </c>
      <c r="R19" s="87"/>
      <c r="S19" s="162"/>
      <c r="T19" s="167"/>
      <c r="U19" s="167"/>
      <c r="V19" s="167"/>
      <c r="W19" s="167"/>
      <c r="X19" s="167"/>
      <c r="Y19" s="167"/>
      <c r="Z19" s="167"/>
      <c r="AA19" s="167"/>
      <c r="AB19" s="167"/>
      <c r="AC19" s="87"/>
      <c r="AD19" s="87"/>
      <c r="AE19" s="88"/>
      <c r="AF19" s="88"/>
    </row>
    <row r="20" spans="1:32" s="78" customFormat="1" ht="90" customHeight="1">
      <c r="A20" s="106"/>
      <c r="B20" s="106"/>
      <c r="C20" s="407"/>
      <c r="D20" s="407"/>
      <c r="E20" s="107" t="s">
        <v>347</v>
      </c>
      <c r="F20" s="397"/>
      <c r="G20" s="397"/>
      <c r="H20" s="397"/>
      <c r="I20" s="397"/>
      <c r="J20" s="134">
        <v>7</v>
      </c>
      <c r="K20" s="397"/>
      <c r="L20" s="136" t="s">
        <v>111</v>
      </c>
      <c r="M20" s="135" t="s">
        <v>102</v>
      </c>
      <c r="N20" s="135">
        <v>2</v>
      </c>
      <c r="O20" s="102" t="s">
        <v>343</v>
      </c>
      <c r="P20" s="135">
        <v>4</v>
      </c>
      <c r="Q20" s="160" t="str">
        <f>算分!AD22</f>
        <v>L</v>
      </c>
      <c r="R20" s="87"/>
      <c r="S20" s="162"/>
      <c r="T20" s="167"/>
      <c r="U20" s="167"/>
      <c r="V20" s="167"/>
      <c r="W20" s="167"/>
      <c r="X20" s="167"/>
      <c r="Y20" s="167"/>
      <c r="Z20" s="167"/>
      <c r="AA20" s="167"/>
      <c r="AB20" s="167"/>
      <c r="AC20" s="87"/>
      <c r="AD20" s="87"/>
      <c r="AE20" s="88"/>
      <c r="AF20" s="88"/>
    </row>
    <row r="21" spans="1:32" s="78" customFormat="1" ht="90" customHeight="1">
      <c r="A21" s="106"/>
      <c r="B21" s="106"/>
      <c r="C21" s="407"/>
      <c r="D21" s="407"/>
      <c r="E21" s="107" t="s">
        <v>347</v>
      </c>
      <c r="F21" s="397"/>
      <c r="G21" s="397"/>
      <c r="H21" s="397"/>
      <c r="I21" s="397"/>
      <c r="J21" s="134">
        <v>7</v>
      </c>
      <c r="K21" s="397"/>
      <c r="L21" s="102" t="s">
        <v>112</v>
      </c>
      <c r="M21" s="135" t="s">
        <v>96</v>
      </c>
      <c r="N21" s="135">
        <v>3</v>
      </c>
      <c r="O21" s="102" t="s">
        <v>341</v>
      </c>
      <c r="P21" s="135">
        <v>4</v>
      </c>
      <c r="Q21" s="160" t="str">
        <f>算分!AD23</f>
        <v>L</v>
      </c>
      <c r="R21" s="87"/>
      <c r="S21" s="162"/>
      <c r="T21" s="167"/>
      <c r="U21" s="167"/>
      <c r="V21" s="167"/>
      <c r="W21" s="167"/>
      <c r="X21" s="167"/>
      <c r="Y21" s="167"/>
      <c r="Z21" s="167"/>
      <c r="AA21" s="167"/>
      <c r="AB21" s="167"/>
      <c r="AC21" s="87"/>
      <c r="AD21" s="87"/>
      <c r="AE21" s="88"/>
      <c r="AF21" s="88"/>
    </row>
    <row r="22" spans="1:32" s="78" customFormat="1" ht="90" customHeight="1">
      <c r="A22" s="106"/>
      <c r="B22" s="106"/>
      <c r="C22" s="407"/>
      <c r="D22" s="407"/>
      <c r="E22" s="107" t="s">
        <v>350</v>
      </c>
      <c r="F22" s="397"/>
      <c r="G22" s="397"/>
      <c r="H22" s="397" t="s">
        <v>351</v>
      </c>
      <c r="I22" s="397"/>
      <c r="J22" s="134">
        <v>7</v>
      </c>
      <c r="K22" s="397"/>
      <c r="L22" s="102" t="s">
        <v>113</v>
      </c>
      <c r="M22" s="135" t="s">
        <v>352</v>
      </c>
      <c r="N22" s="135">
        <v>3</v>
      </c>
      <c r="O22" s="135" t="s">
        <v>353</v>
      </c>
      <c r="P22" s="135">
        <v>4</v>
      </c>
      <c r="Q22" s="160" t="str">
        <f>算分!AD24</f>
        <v>L</v>
      </c>
      <c r="R22" s="87"/>
      <c r="S22" s="162"/>
      <c r="T22" s="167"/>
      <c r="U22" s="167"/>
      <c r="V22" s="167"/>
      <c r="W22" s="167"/>
      <c r="X22" s="167"/>
      <c r="Y22" s="167"/>
      <c r="Z22" s="167"/>
      <c r="AA22" s="167"/>
      <c r="AB22" s="167"/>
      <c r="AC22" s="87"/>
      <c r="AD22" s="87"/>
      <c r="AE22" s="88"/>
      <c r="AF22" s="88"/>
    </row>
    <row r="23" spans="1:32" s="78" customFormat="1" ht="90" customHeight="1">
      <c r="A23" s="106"/>
      <c r="B23" s="106"/>
      <c r="C23" s="407"/>
      <c r="D23" s="407"/>
      <c r="E23" s="107" t="s">
        <v>350</v>
      </c>
      <c r="F23" s="397"/>
      <c r="G23" s="397"/>
      <c r="H23" s="397"/>
      <c r="I23" s="397"/>
      <c r="J23" s="134">
        <v>7</v>
      </c>
      <c r="K23" s="397"/>
      <c r="L23" s="102" t="s">
        <v>115</v>
      </c>
      <c r="M23" s="135" t="s">
        <v>96</v>
      </c>
      <c r="N23" s="135">
        <v>3</v>
      </c>
      <c r="O23" s="102" t="s">
        <v>341</v>
      </c>
      <c r="P23" s="135">
        <v>4</v>
      </c>
      <c r="Q23" s="160" t="str">
        <f>算分!AD25</f>
        <v>L</v>
      </c>
      <c r="R23" s="87"/>
      <c r="S23" s="162"/>
      <c r="T23" s="167"/>
      <c r="U23" s="167"/>
      <c r="V23" s="167"/>
      <c r="W23" s="167"/>
      <c r="X23" s="167"/>
      <c r="Y23" s="167"/>
      <c r="Z23" s="167"/>
      <c r="AA23" s="167"/>
      <c r="AB23" s="167"/>
      <c r="AC23" s="87"/>
      <c r="AD23" s="87"/>
      <c r="AE23" s="88"/>
      <c r="AF23" s="88"/>
    </row>
    <row r="24" spans="1:32" s="78" customFormat="1" ht="90" customHeight="1">
      <c r="A24" s="106"/>
      <c r="B24" s="106"/>
      <c r="C24" s="407"/>
      <c r="D24" s="407"/>
      <c r="E24" s="107" t="s">
        <v>350</v>
      </c>
      <c r="F24" s="397"/>
      <c r="G24" s="397"/>
      <c r="H24" s="397"/>
      <c r="I24" s="397"/>
      <c r="J24" s="134">
        <v>7</v>
      </c>
      <c r="K24" s="397"/>
      <c r="L24" s="102" t="s">
        <v>354</v>
      </c>
      <c r="M24" s="102" t="s">
        <v>355</v>
      </c>
      <c r="N24" s="135">
        <v>1</v>
      </c>
      <c r="O24" s="135" t="s">
        <v>356</v>
      </c>
      <c r="P24" s="135">
        <v>6</v>
      </c>
      <c r="Q24" s="160" t="str">
        <f>算分!AD26</f>
        <v>L</v>
      </c>
      <c r="R24" s="87"/>
      <c r="S24" s="162"/>
      <c r="T24" s="167"/>
      <c r="U24" s="167"/>
      <c r="V24" s="167"/>
      <c r="W24" s="167"/>
      <c r="X24" s="167"/>
      <c r="Y24" s="167"/>
      <c r="Z24" s="167"/>
      <c r="AA24" s="167"/>
      <c r="AB24" s="167"/>
      <c r="AC24" s="87"/>
      <c r="AD24" s="87"/>
      <c r="AE24" s="88"/>
      <c r="AF24" s="88"/>
    </row>
    <row r="25" spans="1:32" s="78" customFormat="1" ht="90" customHeight="1">
      <c r="A25" s="106"/>
      <c r="B25" s="106"/>
      <c r="C25" s="407"/>
      <c r="D25" s="407"/>
      <c r="E25" s="107" t="s">
        <v>357</v>
      </c>
      <c r="F25" s="397"/>
      <c r="G25" s="397"/>
      <c r="H25" s="397" t="s">
        <v>358</v>
      </c>
      <c r="I25" s="397"/>
      <c r="J25" s="134">
        <v>7</v>
      </c>
      <c r="K25" s="397"/>
      <c r="L25" s="102" t="s">
        <v>118</v>
      </c>
      <c r="M25" s="102" t="s">
        <v>359</v>
      </c>
      <c r="N25" s="137">
        <v>1</v>
      </c>
      <c r="O25" s="135" t="s">
        <v>360</v>
      </c>
      <c r="P25" s="135">
        <v>4</v>
      </c>
      <c r="Q25" s="160" t="str">
        <f>算分!AD27</f>
        <v>L</v>
      </c>
      <c r="R25" s="87"/>
      <c r="S25" s="162"/>
      <c r="T25" s="167"/>
      <c r="U25" s="167"/>
      <c r="V25" s="167"/>
      <c r="W25" s="167"/>
      <c r="X25" s="167"/>
      <c r="Y25" s="167"/>
      <c r="Z25" s="167"/>
      <c r="AA25" s="167"/>
      <c r="AB25" s="167"/>
      <c r="AC25" s="87"/>
      <c r="AD25" s="87"/>
      <c r="AE25" s="88"/>
      <c r="AF25" s="88"/>
    </row>
    <row r="26" spans="1:32" s="78" customFormat="1" ht="90" customHeight="1">
      <c r="A26" s="106"/>
      <c r="B26" s="106"/>
      <c r="C26" s="407"/>
      <c r="D26" s="407"/>
      <c r="E26" s="107" t="s">
        <v>357</v>
      </c>
      <c r="F26" s="397"/>
      <c r="G26" s="397"/>
      <c r="H26" s="397"/>
      <c r="I26" s="397"/>
      <c r="J26" s="134">
        <v>7</v>
      </c>
      <c r="K26" s="397"/>
      <c r="L26" s="102" t="s">
        <v>361</v>
      </c>
      <c r="M26" s="102" t="s">
        <v>362</v>
      </c>
      <c r="N26" s="135">
        <v>2</v>
      </c>
      <c r="O26" s="102" t="s">
        <v>363</v>
      </c>
      <c r="P26" s="135">
        <v>4</v>
      </c>
      <c r="Q26" s="160" t="str">
        <f>算分!AD28</f>
        <v>L</v>
      </c>
      <c r="R26" s="87"/>
      <c r="S26" s="162"/>
      <c r="T26" s="167"/>
      <c r="U26" s="167"/>
      <c r="V26" s="167"/>
      <c r="W26" s="167"/>
      <c r="X26" s="167"/>
      <c r="Y26" s="167"/>
      <c r="Z26" s="167"/>
      <c r="AA26" s="167"/>
      <c r="AB26" s="167"/>
      <c r="AC26" s="87"/>
      <c r="AD26" s="87"/>
      <c r="AE26" s="88"/>
      <c r="AF26" s="88"/>
    </row>
    <row r="27" spans="1:32" s="78" customFormat="1" ht="90" customHeight="1">
      <c r="A27" s="106"/>
      <c r="B27" s="106"/>
      <c r="C27" s="407"/>
      <c r="D27" s="407"/>
      <c r="E27" s="107" t="s">
        <v>357</v>
      </c>
      <c r="F27" s="397"/>
      <c r="G27" s="397"/>
      <c r="H27" s="397"/>
      <c r="I27" s="397"/>
      <c r="J27" s="134">
        <v>7</v>
      </c>
      <c r="K27" s="397"/>
      <c r="L27" s="102" t="s">
        <v>122</v>
      </c>
      <c r="M27" s="135" t="s">
        <v>96</v>
      </c>
      <c r="N27" s="135">
        <v>1</v>
      </c>
      <c r="O27" s="102" t="s">
        <v>341</v>
      </c>
      <c r="P27" s="135">
        <v>5</v>
      </c>
      <c r="Q27" s="160" t="str">
        <f>算分!AD29</f>
        <v>L</v>
      </c>
      <c r="R27" s="87"/>
      <c r="S27" s="162"/>
      <c r="T27" s="167"/>
      <c r="U27" s="167"/>
      <c r="V27" s="167"/>
      <c r="W27" s="167"/>
      <c r="X27" s="167"/>
      <c r="Y27" s="167"/>
      <c r="Z27" s="167"/>
      <c r="AA27" s="167"/>
      <c r="AB27" s="167"/>
      <c r="AC27" s="87"/>
      <c r="AD27" s="87"/>
      <c r="AE27" s="88"/>
      <c r="AF27" s="88"/>
    </row>
    <row r="28" spans="1:32" s="78" customFormat="1" ht="90" customHeight="1">
      <c r="A28" s="106"/>
      <c r="B28" s="106"/>
      <c r="C28" s="407"/>
      <c r="D28" s="407"/>
      <c r="E28" s="107" t="s">
        <v>364</v>
      </c>
      <c r="F28" s="397"/>
      <c r="G28" s="397"/>
      <c r="H28" s="397" t="s">
        <v>365</v>
      </c>
      <c r="I28" s="397"/>
      <c r="J28" s="134">
        <v>7</v>
      </c>
      <c r="K28" s="397"/>
      <c r="L28" s="102" t="s">
        <v>118</v>
      </c>
      <c r="M28" s="102" t="s">
        <v>359</v>
      </c>
      <c r="N28" s="137">
        <v>1</v>
      </c>
      <c r="O28" s="135" t="s">
        <v>360</v>
      </c>
      <c r="P28" s="135">
        <v>4</v>
      </c>
      <c r="Q28" s="160" t="str">
        <f>算分!AD30</f>
        <v>L</v>
      </c>
      <c r="R28" s="87"/>
      <c r="S28" s="162"/>
      <c r="T28" s="168"/>
      <c r="U28" s="83"/>
      <c r="V28" s="168"/>
      <c r="W28" s="168"/>
      <c r="X28" s="169"/>
      <c r="Y28" s="88"/>
      <c r="Z28" s="167"/>
      <c r="AA28" s="167"/>
      <c r="AB28" s="167"/>
      <c r="AC28" s="87"/>
      <c r="AD28" s="87"/>
      <c r="AE28" s="88"/>
      <c r="AF28" s="88"/>
    </row>
    <row r="29" spans="1:32" s="78" customFormat="1" ht="90" customHeight="1">
      <c r="A29" s="106"/>
      <c r="B29" s="106"/>
      <c r="C29" s="407"/>
      <c r="D29" s="407"/>
      <c r="E29" s="107" t="s">
        <v>364</v>
      </c>
      <c r="F29" s="397"/>
      <c r="G29" s="397"/>
      <c r="H29" s="397"/>
      <c r="I29" s="397"/>
      <c r="J29" s="134">
        <v>7</v>
      </c>
      <c r="K29" s="397"/>
      <c r="L29" s="138" t="s">
        <v>122</v>
      </c>
      <c r="M29" s="135" t="s">
        <v>96</v>
      </c>
      <c r="N29" s="135">
        <v>1</v>
      </c>
      <c r="O29" s="102" t="s">
        <v>341</v>
      </c>
      <c r="P29" s="135">
        <v>5</v>
      </c>
      <c r="Q29" s="160" t="str">
        <f>算分!AD31</f>
        <v>L</v>
      </c>
      <c r="R29" s="87"/>
      <c r="S29" s="162"/>
      <c r="T29" s="167"/>
      <c r="U29" s="167"/>
      <c r="V29" s="167"/>
      <c r="W29" s="167"/>
      <c r="X29" s="167"/>
      <c r="Y29" s="167"/>
      <c r="Z29" s="167"/>
      <c r="AA29" s="167"/>
      <c r="AB29" s="167"/>
      <c r="AC29" s="87"/>
      <c r="AD29" s="87"/>
      <c r="AE29" s="88"/>
      <c r="AF29" s="88"/>
    </row>
    <row r="30" spans="1:32" s="78" customFormat="1" ht="90" customHeight="1">
      <c r="A30" s="106"/>
      <c r="B30" s="106"/>
      <c r="C30" s="407"/>
      <c r="D30" s="407"/>
      <c r="E30" s="107" t="s">
        <v>364</v>
      </c>
      <c r="F30" s="397"/>
      <c r="G30" s="397"/>
      <c r="H30" s="397"/>
      <c r="I30" s="397"/>
      <c r="J30" s="134">
        <v>7</v>
      </c>
      <c r="K30" s="397"/>
      <c r="L30" s="138" t="s">
        <v>123</v>
      </c>
      <c r="M30" s="138" t="s">
        <v>366</v>
      </c>
      <c r="N30" s="139">
        <v>2</v>
      </c>
      <c r="O30" s="140" t="s">
        <v>367</v>
      </c>
      <c r="P30" s="135">
        <v>4</v>
      </c>
      <c r="Q30" s="160" t="str">
        <f>算分!AD32</f>
        <v>L</v>
      </c>
      <c r="R30" s="87"/>
      <c r="S30" s="162"/>
      <c r="T30" s="168"/>
      <c r="U30" s="83"/>
      <c r="V30" s="168"/>
      <c r="W30" s="168"/>
      <c r="X30" s="169"/>
      <c r="Y30" s="88"/>
      <c r="Z30" s="167"/>
      <c r="AA30" s="167"/>
      <c r="AB30" s="167"/>
      <c r="AC30" s="87"/>
      <c r="AD30" s="87"/>
      <c r="AE30" s="88"/>
      <c r="AF30" s="88"/>
    </row>
    <row r="31" spans="1:32" s="78" customFormat="1" ht="90" customHeight="1">
      <c r="A31" s="106"/>
      <c r="B31" s="106"/>
      <c r="C31" s="407"/>
      <c r="D31" s="407"/>
      <c r="E31" s="107" t="s">
        <v>368</v>
      </c>
      <c r="F31" s="397"/>
      <c r="G31" s="397"/>
      <c r="H31" s="397" t="s">
        <v>369</v>
      </c>
      <c r="I31" s="397"/>
      <c r="J31" s="134">
        <v>7</v>
      </c>
      <c r="K31" s="397"/>
      <c r="L31" s="138" t="s">
        <v>118</v>
      </c>
      <c r="M31" s="102" t="s">
        <v>359</v>
      </c>
      <c r="N31" s="139">
        <v>1</v>
      </c>
      <c r="O31" s="135" t="s">
        <v>360</v>
      </c>
      <c r="P31" s="135">
        <v>4</v>
      </c>
      <c r="Q31" s="160" t="str">
        <f>算分!AD33</f>
        <v>L</v>
      </c>
      <c r="R31" s="87"/>
      <c r="S31" s="162"/>
      <c r="T31" s="168"/>
      <c r="U31" s="83"/>
      <c r="V31" s="168"/>
      <c r="W31" s="168"/>
      <c r="X31" s="169"/>
      <c r="Y31" s="88"/>
      <c r="Z31" s="167"/>
      <c r="AA31" s="167"/>
      <c r="AB31" s="167"/>
      <c r="AC31" s="87"/>
      <c r="AD31" s="87"/>
      <c r="AE31" s="88"/>
      <c r="AF31" s="88"/>
    </row>
    <row r="32" spans="1:32" s="78" customFormat="1" ht="90" customHeight="1">
      <c r="A32" s="106"/>
      <c r="B32" s="106"/>
      <c r="C32" s="407"/>
      <c r="D32" s="407"/>
      <c r="E32" s="107" t="s">
        <v>368</v>
      </c>
      <c r="F32" s="397"/>
      <c r="G32" s="397"/>
      <c r="H32" s="397"/>
      <c r="I32" s="397"/>
      <c r="J32" s="134">
        <v>7</v>
      </c>
      <c r="K32" s="397"/>
      <c r="L32" s="138" t="s">
        <v>122</v>
      </c>
      <c r="M32" s="135" t="s">
        <v>96</v>
      </c>
      <c r="N32" s="135">
        <v>1</v>
      </c>
      <c r="O32" s="102" t="s">
        <v>341</v>
      </c>
      <c r="P32" s="135">
        <v>5</v>
      </c>
      <c r="Q32" s="160" t="str">
        <f>算分!AD34</f>
        <v>L</v>
      </c>
      <c r="R32" s="87"/>
      <c r="S32" s="162"/>
      <c r="T32" s="167"/>
      <c r="U32" s="167"/>
      <c r="V32" s="167"/>
      <c r="W32" s="167"/>
      <c r="X32" s="167"/>
      <c r="Y32" s="167"/>
      <c r="Z32" s="167"/>
      <c r="AA32" s="167"/>
      <c r="AB32" s="167"/>
      <c r="AC32" s="87"/>
      <c r="AD32" s="87"/>
      <c r="AE32" s="88"/>
      <c r="AF32" s="88"/>
    </row>
    <row r="33" spans="1:47" s="78" customFormat="1" ht="90" customHeight="1">
      <c r="A33" s="106"/>
      <c r="B33" s="106"/>
      <c r="C33" s="407"/>
      <c r="D33" s="407"/>
      <c r="E33" s="107" t="s">
        <v>368</v>
      </c>
      <c r="F33" s="397"/>
      <c r="G33" s="397"/>
      <c r="H33" s="397"/>
      <c r="I33" s="397"/>
      <c r="J33" s="134">
        <v>7</v>
      </c>
      <c r="K33" s="397"/>
      <c r="L33" s="138" t="s">
        <v>125</v>
      </c>
      <c r="M33" s="138" t="s">
        <v>370</v>
      </c>
      <c r="N33" s="139">
        <v>2</v>
      </c>
      <c r="O33" s="140" t="s">
        <v>367</v>
      </c>
      <c r="P33" s="135">
        <v>4</v>
      </c>
      <c r="Q33" s="160" t="str">
        <f>算分!AD35</f>
        <v>L</v>
      </c>
      <c r="R33" s="87"/>
      <c r="S33" s="162"/>
      <c r="T33" s="168"/>
      <c r="U33" s="83"/>
      <c r="V33" s="168"/>
      <c r="W33" s="168"/>
      <c r="X33" s="169"/>
      <c r="Y33" s="88"/>
      <c r="Z33" s="167"/>
      <c r="AA33" s="167"/>
      <c r="AB33" s="167"/>
      <c r="AC33" s="87"/>
      <c r="AD33" s="87"/>
      <c r="AE33" s="88"/>
      <c r="AF33" s="88"/>
    </row>
    <row r="34" spans="1:47" s="78" customFormat="1" ht="90" customHeight="1">
      <c r="A34" s="106"/>
      <c r="B34" s="106"/>
      <c r="C34" s="407"/>
      <c r="D34" s="407"/>
      <c r="E34" s="107" t="s">
        <v>371</v>
      </c>
      <c r="F34" s="397"/>
      <c r="G34" s="397"/>
      <c r="H34" s="397" t="s">
        <v>372</v>
      </c>
      <c r="I34" s="397"/>
      <c r="J34" s="134">
        <v>7</v>
      </c>
      <c r="K34" s="397"/>
      <c r="L34" s="138" t="s">
        <v>118</v>
      </c>
      <c r="M34" s="102" t="s">
        <v>359</v>
      </c>
      <c r="N34" s="139">
        <v>1</v>
      </c>
      <c r="O34" s="135" t="s">
        <v>360</v>
      </c>
      <c r="P34" s="135">
        <v>4</v>
      </c>
      <c r="Q34" s="160" t="str">
        <f>算分!AD36</f>
        <v>L</v>
      </c>
      <c r="R34" s="87"/>
      <c r="S34" s="162"/>
      <c r="T34" s="168"/>
      <c r="U34" s="83"/>
      <c r="V34" s="168"/>
      <c r="W34" s="168"/>
      <c r="X34" s="169"/>
      <c r="Y34" s="88"/>
      <c r="Z34" s="167"/>
      <c r="AA34" s="167"/>
      <c r="AB34" s="167"/>
      <c r="AC34" s="87"/>
      <c r="AD34" s="87"/>
      <c r="AE34" s="88"/>
      <c r="AF34" s="88"/>
    </row>
    <row r="35" spans="1:47" s="78" customFormat="1" ht="90" customHeight="1">
      <c r="A35" s="106"/>
      <c r="B35" s="106"/>
      <c r="C35" s="407"/>
      <c r="D35" s="407"/>
      <c r="E35" s="107" t="s">
        <v>371</v>
      </c>
      <c r="F35" s="397"/>
      <c r="G35" s="397"/>
      <c r="H35" s="397"/>
      <c r="I35" s="397"/>
      <c r="J35" s="134">
        <v>7</v>
      </c>
      <c r="K35" s="397"/>
      <c r="L35" s="138" t="s">
        <v>373</v>
      </c>
      <c r="M35" s="102" t="s">
        <v>362</v>
      </c>
      <c r="N35" s="139">
        <v>2</v>
      </c>
      <c r="O35" s="102" t="s">
        <v>363</v>
      </c>
      <c r="P35" s="135">
        <v>4</v>
      </c>
      <c r="Q35" s="160" t="str">
        <f>算分!AD37</f>
        <v>L</v>
      </c>
      <c r="R35" s="87"/>
      <c r="S35" s="162"/>
      <c r="T35" s="167"/>
      <c r="U35" s="167"/>
      <c r="V35" s="167"/>
      <c r="W35" s="167"/>
      <c r="X35" s="167"/>
      <c r="Y35" s="167"/>
      <c r="Z35" s="167"/>
      <c r="AA35" s="167"/>
      <c r="AB35" s="167"/>
      <c r="AC35" s="87"/>
      <c r="AD35" s="87"/>
      <c r="AE35" s="88"/>
      <c r="AF35" s="88"/>
    </row>
    <row r="36" spans="1:47" s="78" customFormat="1" ht="90" customHeight="1">
      <c r="A36" s="106"/>
      <c r="B36" s="106"/>
      <c r="C36" s="407"/>
      <c r="D36" s="407"/>
      <c r="E36" s="107" t="s">
        <v>371</v>
      </c>
      <c r="F36" s="397"/>
      <c r="G36" s="397"/>
      <c r="H36" s="397"/>
      <c r="I36" s="397"/>
      <c r="J36" s="134">
        <v>7</v>
      </c>
      <c r="K36" s="397"/>
      <c r="L36" s="138" t="s">
        <v>129</v>
      </c>
      <c r="M36" s="135" t="s">
        <v>96</v>
      </c>
      <c r="N36" s="135">
        <v>1</v>
      </c>
      <c r="O36" s="102" t="s">
        <v>341</v>
      </c>
      <c r="P36" s="135">
        <v>5</v>
      </c>
      <c r="Q36" s="160" t="str">
        <f>算分!AD38</f>
        <v>L</v>
      </c>
      <c r="R36" s="87"/>
      <c r="S36" s="162"/>
      <c r="T36" s="167"/>
      <c r="U36" s="167"/>
      <c r="V36" s="167"/>
      <c r="W36" s="167"/>
      <c r="X36" s="167"/>
      <c r="Y36" s="167"/>
      <c r="Z36" s="167"/>
      <c r="AA36" s="167"/>
      <c r="AB36" s="167"/>
      <c r="AC36" s="87"/>
      <c r="AD36" s="87"/>
      <c r="AE36" s="88"/>
      <c r="AF36" s="88"/>
    </row>
    <row r="37" spans="1:47" s="78" customFormat="1" ht="90" customHeight="1">
      <c r="A37" s="106"/>
      <c r="B37" s="106"/>
      <c r="C37" s="407"/>
      <c r="D37" s="407"/>
      <c r="E37" s="107" t="s">
        <v>374</v>
      </c>
      <c r="F37" s="397"/>
      <c r="G37" s="397"/>
      <c r="H37" s="397" t="s">
        <v>375</v>
      </c>
      <c r="I37" s="397"/>
      <c r="J37" s="134">
        <v>7</v>
      </c>
      <c r="K37" s="397"/>
      <c r="L37" s="138" t="s">
        <v>130</v>
      </c>
      <c r="M37" s="135" t="s">
        <v>96</v>
      </c>
      <c r="N37" s="135">
        <v>1</v>
      </c>
      <c r="O37" s="102" t="s">
        <v>341</v>
      </c>
      <c r="P37" s="135">
        <v>5</v>
      </c>
      <c r="Q37" s="160" t="str">
        <f>算分!AD39</f>
        <v>L</v>
      </c>
      <c r="R37" s="87"/>
      <c r="S37" s="162"/>
      <c r="T37" s="167"/>
      <c r="U37" s="167"/>
      <c r="V37" s="167"/>
      <c r="W37" s="167"/>
      <c r="X37" s="167"/>
      <c r="Y37" s="167"/>
      <c r="Z37" s="167"/>
      <c r="AA37" s="167"/>
      <c r="AB37" s="167"/>
      <c r="AC37" s="87"/>
      <c r="AD37" s="87"/>
      <c r="AE37" s="88"/>
      <c r="AF37" s="88"/>
    </row>
    <row r="38" spans="1:47" s="78" customFormat="1" ht="90" customHeight="1">
      <c r="A38" s="106"/>
      <c r="B38" s="106"/>
      <c r="C38" s="407"/>
      <c r="D38" s="407"/>
      <c r="E38" s="107" t="s">
        <v>374</v>
      </c>
      <c r="F38" s="397"/>
      <c r="G38" s="397"/>
      <c r="H38" s="397"/>
      <c r="I38" s="397"/>
      <c r="J38" s="134">
        <v>7</v>
      </c>
      <c r="K38" s="397"/>
      <c r="L38" s="138" t="s">
        <v>131</v>
      </c>
      <c r="M38" s="138" t="s">
        <v>132</v>
      </c>
      <c r="N38" s="140">
        <v>2</v>
      </c>
      <c r="O38" s="138" t="s">
        <v>376</v>
      </c>
      <c r="P38" s="135">
        <v>4</v>
      </c>
      <c r="Q38" s="160" t="str">
        <f>算分!AD40</f>
        <v>L</v>
      </c>
      <c r="R38" s="88"/>
      <c r="S38" s="162"/>
      <c r="T38" s="167"/>
      <c r="U38" s="167"/>
      <c r="V38" s="167"/>
      <c r="W38" s="167"/>
      <c r="X38" s="167"/>
      <c r="Y38" s="167"/>
      <c r="Z38" s="167"/>
      <c r="AA38" s="167"/>
      <c r="AB38" s="167"/>
      <c r="AC38" s="87"/>
      <c r="AD38" s="87"/>
      <c r="AE38" s="88"/>
      <c r="AF38" s="88"/>
    </row>
    <row r="39" spans="1:47" s="78" customFormat="1" ht="90" customHeight="1">
      <c r="A39" s="106"/>
      <c r="B39" s="106"/>
      <c r="C39" s="407"/>
      <c r="D39" s="407"/>
      <c r="E39" s="107" t="s">
        <v>374</v>
      </c>
      <c r="F39" s="397"/>
      <c r="G39" s="397"/>
      <c r="H39" s="397"/>
      <c r="I39" s="397"/>
      <c r="J39" s="134">
        <v>7</v>
      </c>
      <c r="K39" s="397"/>
      <c r="L39" s="138" t="s">
        <v>133</v>
      </c>
      <c r="M39" s="138" t="s">
        <v>377</v>
      </c>
      <c r="N39" s="140">
        <v>2</v>
      </c>
      <c r="O39" s="138" t="s">
        <v>378</v>
      </c>
      <c r="P39" s="135">
        <v>4</v>
      </c>
      <c r="Q39" s="160" t="str">
        <f>算分!AD41</f>
        <v>L</v>
      </c>
      <c r="R39" s="87"/>
      <c r="S39" s="162"/>
      <c r="T39" s="167"/>
      <c r="U39" s="167"/>
      <c r="V39" s="167"/>
      <c r="W39" s="167"/>
      <c r="X39" s="167"/>
      <c r="Y39" s="167"/>
      <c r="Z39" s="167"/>
      <c r="AA39" s="167"/>
      <c r="AB39" s="167"/>
      <c r="AC39" s="87"/>
      <c r="AD39" s="87"/>
      <c r="AE39" s="88"/>
      <c r="AF39" s="88"/>
    </row>
    <row r="40" spans="1:47" s="79" customFormat="1" ht="132" customHeight="1">
      <c r="A40" s="108"/>
      <c r="B40" s="108"/>
      <c r="C40" s="407"/>
      <c r="D40" s="407"/>
      <c r="E40" s="109" t="s">
        <v>23</v>
      </c>
      <c r="F40" s="409" t="s">
        <v>379</v>
      </c>
      <c r="G40" s="110" t="s">
        <v>380</v>
      </c>
      <c r="H40" s="111" t="s">
        <v>381</v>
      </c>
      <c r="I40" s="398" t="s">
        <v>382</v>
      </c>
      <c r="J40" s="141">
        <v>5</v>
      </c>
      <c r="K40" s="401" t="s">
        <v>383</v>
      </c>
      <c r="L40" s="142" t="s">
        <v>135</v>
      </c>
      <c r="M40" s="142" t="s">
        <v>136</v>
      </c>
      <c r="N40" s="143">
        <v>3</v>
      </c>
      <c r="O40" s="144" t="s">
        <v>384</v>
      </c>
      <c r="P40" s="111">
        <v>3</v>
      </c>
      <c r="Q40" s="160" t="str">
        <f>算分!AD42</f>
        <v>L</v>
      </c>
      <c r="R40" s="161"/>
      <c r="S40" s="162"/>
      <c r="T40" s="161"/>
      <c r="U40" s="163"/>
      <c r="V40" s="161"/>
      <c r="W40" s="164"/>
      <c r="X40" s="163"/>
      <c r="Y40" s="161"/>
      <c r="Z40" s="161"/>
      <c r="AA40" s="161"/>
      <c r="AB40" s="161"/>
      <c r="AC40" s="174"/>
      <c r="AD40" s="87"/>
      <c r="AE40" s="88"/>
      <c r="AF40" s="88"/>
      <c r="AG40" s="88"/>
      <c r="AH40" s="88"/>
      <c r="AI40" s="88"/>
      <c r="AJ40" s="88"/>
      <c r="AK40" s="88"/>
      <c r="AL40" s="88"/>
      <c r="AM40" s="88"/>
      <c r="AN40" s="88"/>
      <c r="AO40" s="88"/>
      <c r="AP40" s="88"/>
      <c r="AQ40" s="88"/>
      <c r="AR40" s="88"/>
      <c r="AS40" s="88"/>
      <c r="AT40" s="88"/>
      <c r="AU40" s="88"/>
    </row>
    <row r="41" spans="1:47" s="79" customFormat="1" ht="91.5" customHeight="1">
      <c r="A41" s="108"/>
      <c r="B41" s="108"/>
      <c r="C41" s="407"/>
      <c r="D41" s="407"/>
      <c r="E41" s="109" t="s">
        <v>23</v>
      </c>
      <c r="F41" s="410"/>
      <c r="G41" s="111" t="s">
        <v>380</v>
      </c>
      <c r="H41" s="111" t="s">
        <v>381</v>
      </c>
      <c r="I41" s="399"/>
      <c r="J41" s="141">
        <v>5</v>
      </c>
      <c r="K41" s="402"/>
      <c r="L41" s="142" t="s">
        <v>135</v>
      </c>
      <c r="M41" s="142" t="s">
        <v>136</v>
      </c>
      <c r="N41" s="143">
        <v>3</v>
      </c>
      <c r="O41" s="144" t="s">
        <v>384</v>
      </c>
      <c r="P41" s="111">
        <v>3</v>
      </c>
      <c r="Q41" s="160" t="str">
        <f>算分!AD43</f>
        <v>L</v>
      </c>
      <c r="R41" s="161"/>
      <c r="S41" s="162"/>
      <c r="T41" s="161"/>
      <c r="U41" s="163"/>
      <c r="V41" s="161"/>
      <c r="W41" s="164"/>
      <c r="X41" s="163"/>
      <c r="Y41" s="161"/>
      <c r="Z41" s="161"/>
      <c r="AA41" s="161"/>
      <c r="AB41" s="161"/>
      <c r="AC41" s="174"/>
      <c r="AD41" s="87"/>
      <c r="AE41" s="88"/>
      <c r="AF41" s="88"/>
      <c r="AG41" s="88"/>
      <c r="AH41" s="88"/>
      <c r="AI41" s="88"/>
      <c r="AJ41" s="88"/>
      <c r="AK41" s="88"/>
      <c r="AL41" s="88"/>
      <c r="AM41" s="88"/>
      <c r="AN41" s="88"/>
      <c r="AO41" s="88"/>
      <c r="AP41" s="88"/>
      <c r="AQ41" s="88"/>
      <c r="AR41" s="88"/>
      <c r="AS41" s="88"/>
      <c r="AT41" s="88"/>
      <c r="AU41" s="88"/>
    </row>
    <row r="42" spans="1:47" s="80" customFormat="1" ht="56.25" customHeight="1">
      <c r="A42" s="108"/>
      <c r="B42" s="108"/>
      <c r="C42" s="407"/>
      <c r="D42" s="407"/>
      <c r="E42" s="112" t="s">
        <v>385</v>
      </c>
      <c r="F42" s="410"/>
      <c r="G42" s="109" t="s">
        <v>386</v>
      </c>
      <c r="H42" s="109" t="s">
        <v>387</v>
      </c>
      <c r="I42" s="399"/>
      <c r="J42" s="141">
        <v>5</v>
      </c>
      <c r="K42" s="402"/>
      <c r="L42" s="144" t="s">
        <v>137</v>
      </c>
      <c r="M42" s="144" t="s">
        <v>388</v>
      </c>
      <c r="N42" s="145">
        <v>3</v>
      </c>
      <c r="O42" s="144" t="s">
        <v>384</v>
      </c>
      <c r="P42" s="146">
        <v>4</v>
      </c>
      <c r="Q42" s="160" t="str">
        <f>算分!AD44</f>
        <v>L</v>
      </c>
      <c r="R42" s="161"/>
      <c r="S42" s="162"/>
      <c r="T42" s="161"/>
      <c r="U42" s="163"/>
      <c r="V42" s="161"/>
      <c r="W42" s="164"/>
      <c r="X42" s="163"/>
      <c r="Y42" s="161"/>
      <c r="Z42" s="161"/>
      <c r="AA42" s="161"/>
      <c r="AB42" s="161"/>
      <c r="AC42" s="175"/>
      <c r="AD42" s="176"/>
      <c r="AE42" s="176"/>
      <c r="AF42" s="176"/>
      <c r="AG42" s="176"/>
      <c r="AH42" s="176"/>
      <c r="AI42" s="176"/>
      <c r="AJ42" s="176"/>
      <c r="AK42" s="176"/>
      <c r="AL42" s="176"/>
      <c r="AM42" s="176"/>
      <c r="AN42" s="176"/>
      <c r="AO42" s="176"/>
      <c r="AP42" s="176"/>
      <c r="AQ42" s="176"/>
      <c r="AR42" s="176"/>
      <c r="AS42" s="176"/>
      <c r="AT42" s="176"/>
      <c r="AU42" s="176"/>
    </row>
    <row r="43" spans="1:47" s="80" customFormat="1" ht="56.25" customHeight="1">
      <c r="A43" s="108"/>
      <c r="B43" s="108"/>
      <c r="C43" s="407"/>
      <c r="D43" s="407"/>
      <c r="E43" s="112" t="s">
        <v>389</v>
      </c>
      <c r="F43" s="411"/>
      <c r="G43" s="109" t="s">
        <v>386</v>
      </c>
      <c r="H43" s="109" t="s">
        <v>387</v>
      </c>
      <c r="I43" s="400"/>
      <c r="J43" s="141">
        <v>5</v>
      </c>
      <c r="K43" s="403"/>
      <c r="L43" s="144" t="s">
        <v>137</v>
      </c>
      <c r="M43" s="144" t="s">
        <v>388</v>
      </c>
      <c r="N43" s="145">
        <v>3</v>
      </c>
      <c r="O43" s="144" t="s">
        <v>384</v>
      </c>
      <c r="P43" s="146">
        <v>4</v>
      </c>
      <c r="Q43" s="160" t="str">
        <f>算分!AD45</f>
        <v>L</v>
      </c>
      <c r="R43" s="161"/>
      <c r="S43" s="162"/>
      <c r="T43" s="161"/>
      <c r="U43" s="163"/>
      <c r="V43" s="161"/>
      <c r="W43" s="164"/>
      <c r="X43" s="163"/>
      <c r="Y43" s="161"/>
      <c r="Z43" s="161"/>
      <c r="AA43" s="161"/>
      <c r="AB43" s="161"/>
      <c r="AC43" s="175"/>
      <c r="AD43" s="176"/>
      <c r="AE43" s="176"/>
      <c r="AF43" s="176"/>
      <c r="AG43" s="176"/>
      <c r="AH43" s="176"/>
      <c r="AI43" s="176"/>
      <c r="AJ43" s="176"/>
      <c r="AK43" s="176"/>
      <c r="AL43" s="176"/>
      <c r="AM43" s="176"/>
      <c r="AN43" s="176"/>
      <c r="AO43" s="176"/>
      <c r="AP43" s="176"/>
      <c r="AQ43" s="176"/>
      <c r="AR43" s="176"/>
      <c r="AS43" s="176"/>
      <c r="AT43" s="176"/>
      <c r="AU43" s="176"/>
    </row>
    <row r="44" spans="1:47" s="78" customFormat="1" ht="102.75" customHeight="1">
      <c r="A44" s="101"/>
      <c r="B44" s="101"/>
      <c r="C44" s="407"/>
      <c r="D44" s="407"/>
      <c r="E44" s="113" t="s">
        <v>23</v>
      </c>
      <c r="F44" s="412" t="s">
        <v>390</v>
      </c>
      <c r="G44" s="114" t="s">
        <v>391</v>
      </c>
      <c r="H44" s="114" t="s">
        <v>392</v>
      </c>
      <c r="I44" s="147" t="s">
        <v>393</v>
      </c>
      <c r="J44" s="148">
        <v>5</v>
      </c>
      <c r="K44" s="149" t="s">
        <v>394</v>
      </c>
      <c r="L44" s="149" t="s">
        <v>139</v>
      </c>
      <c r="M44" s="149" t="s">
        <v>140</v>
      </c>
      <c r="N44" s="150">
        <v>4</v>
      </c>
      <c r="O44" s="151" t="s">
        <v>395</v>
      </c>
      <c r="P44" s="147">
        <v>5</v>
      </c>
      <c r="Q44" s="160" t="str">
        <f>算分!AD46</f>
        <v>L</v>
      </c>
      <c r="R44" s="161"/>
      <c r="S44" s="162"/>
      <c r="T44" s="161"/>
      <c r="U44" s="163"/>
      <c r="V44" s="161"/>
      <c r="W44" s="164"/>
      <c r="X44" s="163"/>
      <c r="Y44" s="161"/>
      <c r="Z44" s="161"/>
      <c r="AA44" s="161"/>
      <c r="AB44" s="161"/>
      <c r="AC44" s="174"/>
      <c r="AD44" s="87"/>
      <c r="AE44" s="88"/>
      <c r="AF44" s="88"/>
      <c r="AG44" s="88"/>
      <c r="AH44" s="88"/>
      <c r="AI44" s="88"/>
      <c r="AJ44" s="88"/>
      <c r="AK44" s="88"/>
      <c r="AL44" s="88"/>
      <c r="AM44" s="88"/>
      <c r="AN44" s="88"/>
      <c r="AO44" s="88"/>
      <c r="AP44" s="88"/>
      <c r="AQ44" s="88"/>
      <c r="AR44" s="88"/>
      <c r="AS44" s="88"/>
      <c r="AT44" s="88"/>
      <c r="AU44" s="88"/>
    </row>
    <row r="45" spans="1:47" s="78" customFormat="1" ht="117.75" customHeight="1">
      <c r="A45" s="101"/>
      <c r="B45" s="101"/>
      <c r="C45" s="407"/>
      <c r="D45" s="407"/>
      <c r="E45" s="113" t="s">
        <v>23</v>
      </c>
      <c r="F45" s="413"/>
      <c r="G45" s="115" t="s">
        <v>396</v>
      </c>
      <c r="H45" s="114" t="s">
        <v>397</v>
      </c>
      <c r="I45" s="147" t="s">
        <v>393</v>
      </c>
      <c r="J45" s="148">
        <v>5</v>
      </c>
      <c r="K45" s="149" t="s">
        <v>398</v>
      </c>
      <c r="L45" s="149" t="s">
        <v>141</v>
      </c>
      <c r="M45" s="152" t="s">
        <v>142</v>
      </c>
      <c r="N45" s="151">
        <v>4</v>
      </c>
      <c r="O45" s="151" t="s">
        <v>395</v>
      </c>
      <c r="P45" s="153">
        <v>5</v>
      </c>
      <c r="Q45" s="160" t="str">
        <f>算分!AD47</f>
        <v>L</v>
      </c>
      <c r="R45" s="161"/>
      <c r="S45" s="162"/>
      <c r="T45" s="161"/>
      <c r="U45" s="163"/>
      <c r="V45" s="161"/>
      <c r="W45" s="164"/>
      <c r="X45" s="163"/>
      <c r="Y45" s="161"/>
      <c r="Z45" s="161"/>
      <c r="AA45" s="161"/>
      <c r="AB45" s="161"/>
      <c r="AC45" s="174"/>
      <c r="AD45" s="87"/>
      <c r="AE45" s="88"/>
      <c r="AF45" s="88"/>
      <c r="AG45" s="88"/>
      <c r="AH45" s="88"/>
      <c r="AI45" s="88"/>
      <c r="AJ45" s="88"/>
      <c r="AK45" s="88"/>
      <c r="AL45" s="88"/>
      <c r="AM45" s="88"/>
      <c r="AN45" s="88"/>
      <c r="AO45" s="88"/>
      <c r="AP45" s="88"/>
      <c r="AQ45" s="88"/>
      <c r="AR45" s="88"/>
      <c r="AS45" s="88"/>
      <c r="AT45" s="88"/>
      <c r="AU45" s="88"/>
    </row>
    <row r="46" spans="1:47" s="78" customFormat="1" ht="106.5" customHeight="1">
      <c r="A46" s="101"/>
      <c r="B46" s="101"/>
      <c r="C46" s="407"/>
      <c r="D46" s="407"/>
      <c r="E46" s="113" t="s">
        <v>23</v>
      </c>
      <c r="F46" s="413"/>
      <c r="G46" s="115" t="s">
        <v>399</v>
      </c>
      <c r="H46" s="114" t="s">
        <v>400</v>
      </c>
      <c r="I46" s="147" t="s">
        <v>393</v>
      </c>
      <c r="J46" s="148">
        <v>5</v>
      </c>
      <c r="K46" s="149" t="s">
        <v>401</v>
      </c>
      <c r="L46" s="149" t="s">
        <v>143</v>
      </c>
      <c r="M46" s="152" t="s">
        <v>144</v>
      </c>
      <c r="N46" s="151">
        <v>4</v>
      </c>
      <c r="O46" s="151" t="s">
        <v>395</v>
      </c>
      <c r="P46" s="147">
        <v>5</v>
      </c>
      <c r="Q46" s="160" t="str">
        <f>算分!AD48</f>
        <v>L</v>
      </c>
      <c r="R46" s="161"/>
      <c r="S46" s="162"/>
      <c r="T46" s="161"/>
      <c r="U46" s="163"/>
      <c r="V46" s="161"/>
      <c r="W46" s="164"/>
      <c r="X46" s="163"/>
      <c r="Y46" s="161"/>
      <c r="Z46" s="161"/>
      <c r="AA46" s="161"/>
      <c r="AB46" s="161"/>
      <c r="AC46" s="174"/>
      <c r="AD46" s="87"/>
      <c r="AE46" s="88"/>
      <c r="AF46" s="88"/>
      <c r="AG46" s="88"/>
      <c r="AH46" s="88"/>
      <c r="AI46" s="88"/>
      <c r="AJ46" s="88"/>
      <c r="AK46" s="88"/>
      <c r="AL46" s="88"/>
      <c r="AM46" s="88"/>
      <c r="AN46" s="88"/>
      <c r="AO46" s="88"/>
      <c r="AP46" s="88"/>
      <c r="AQ46" s="88"/>
      <c r="AR46" s="88"/>
      <c r="AS46" s="88"/>
      <c r="AT46" s="88"/>
      <c r="AU46" s="88"/>
    </row>
    <row r="47" spans="1:47" s="78" customFormat="1" ht="111" customHeight="1">
      <c r="A47" s="101"/>
      <c r="B47" s="101"/>
      <c r="C47" s="407"/>
      <c r="D47" s="407"/>
      <c r="E47" s="113" t="s">
        <v>23</v>
      </c>
      <c r="F47" s="413"/>
      <c r="G47" s="115" t="s">
        <v>402</v>
      </c>
      <c r="H47" s="114" t="s">
        <v>403</v>
      </c>
      <c r="I47" s="147" t="s">
        <v>393</v>
      </c>
      <c r="J47" s="148">
        <v>5</v>
      </c>
      <c r="K47" s="149" t="s">
        <v>404</v>
      </c>
      <c r="L47" s="149" t="s">
        <v>405</v>
      </c>
      <c r="M47" s="152" t="s">
        <v>146</v>
      </c>
      <c r="N47" s="151">
        <v>4</v>
      </c>
      <c r="O47" s="151" t="s">
        <v>395</v>
      </c>
      <c r="P47" s="153">
        <v>5</v>
      </c>
      <c r="Q47" s="160" t="str">
        <f>算分!AD49</f>
        <v>L</v>
      </c>
      <c r="R47" s="161"/>
      <c r="S47" s="162"/>
      <c r="T47" s="161"/>
      <c r="U47" s="163"/>
      <c r="V47" s="161"/>
      <c r="W47" s="164"/>
      <c r="X47" s="163"/>
      <c r="Y47" s="161"/>
      <c r="Z47" s="161"/>
      <c r="AA47" s="161"/>
      <c r="AB47" s="161"/>
      <c r="AC47" s="174"/>
      <c r="AD47" s="87"/>
      <c r="AE47" s="88"/>
      <c r="AF47" s="88"/>
      <c r="AG47" s="88"/>
      <c r="AH47" s="88"/>
      <c r="AI47" s="88"/>
      <c r="AJ47" s="88"/>
      <c r="AK47" s="88"/>
      <c r="AL47" s="88"/>
      <c r="AM47" s="88"/>
      <c r="AN47" s="88"/>
      <c r="AO47" s="88"/>
      <c r="AP47" s="88"/>
      <c r="AQ47" s="88"/>
      <c r="AR47" s="88"/>
      <c r="AS47" s="88"/>
      <c r="AT47" s="88"/>
      <c r="AU47" s="88"/>
    </row>
    <row r="48" spans="1:47" s="78" customFormat="1" ht="100.5" customHeight="1">
      <c r="A48" s="101"/>
      <c r="B48" s="101"/>
      <c r="C48" s="407"/>
      <c r="D48" s="407"/>
      <c r="E48" s="113" t="s">
        <v>23</v>
      </c>
      <c r="F48" s="414"/>
      <c r="G48" s="115" t="s">
        <v>406</v>
      </c>
      <c r="H48" s="116" t="s">
        <v>407</v>
      </c>
      <c r="I48" s="147" t="s">
        <v>393</v>
      </c>
      <c r="J48" s="148">
        <v>5</v>
      </c>
      <c r="K48" s="152" t="s">
        <v>408</v>
      </c>
      <c r="L48" s="152" t="s">
        <v>147</v>
      </c>
      <c r="M48" s="152" t="s">
        <v>148</v>
      </c>
      <c r="N48" s="151">
        <v>4</v>
      </c>
      <c r="O48" s="151" t="s">
        <v>395</v>
      </c>
      <c r="P48" s="147">
        <v>5</v>
      </c>
      <c r="Q48" s="160" t="str">
        <f>算分!AD50</f>
        <v>L</v>
      </c>
      <c r="R48" s="161"/>
      <c r="S48" s="162"/>
      <c r="T48" s="161"/>
      <c r="U48" s="163"/>
      <c r="V48" s="161"/>
      <c r="W48" s="164"/>
      <c r="X48" s="163"/>
      <c r="Y48" s="161"/>
      <c r="Z48" s="161"/>
      <c r="AA48" s="161"/>
      <c r="AB48" s="161"/>
      <c r="AC48" s="174"/>
      <c r="AD48" s="87"/>
      <c r="AE48" s="88"/>
      <c r="AF48" s="88"/>
      <c r="AG48" s="88"/>
      <c r="AH48" s="88"/>
      <c r="AI48" s="88"/>
      <c r="AJ48" s="88"/>
      <c r="AK48" s="88"/>
      <c r="AL48" s="88"/>
      <c r="AM48" s="88"/>
      <c r="AN48" s="88"/>
      <c r="AO48" s="88"/>
      <c r="AP48" s="88"/>
      <c r="AQ48" s="88"/>
      <c r="AR48" s="88"/>
      <c r="AS48" s="88"/>
      <c r="AT48" s="88"/>
      <c r="AU48" s="88"/>
    </row>
    <row r="49" spans="1:47" s="79" customFormat="1" ht="63.75" customHeight="1">
      <c r="A49" s="108"/>
      <c r="B49" s="108"/>
      <c r="C49" s="407"/>
      <c r="D49" s="407"/>
      <c r="E49" s="408" t="s">
        <v>23</v>
      </c>
      <c r="F49" s="415" t="s">
        <v>409</v>
      </c>
      <c r="G49" s="112" t="s">
        <v>410</v>
      </c>
      <c r="H49" s="117" t="s">
        <v>411</v>
      </c>
      <c r="I49" s="109" t="s">
        <v>412</v>
      </c>
      <c r="J49" s="143">
        <v>5</v>
      </c>
      <c r="K49" s="154" t="s">
        <v>413</v>
      </c>
      <c r="L49" s="144" t="s">
        <v>414</v>
      </c>
      <c r="M49" s="144" t="s">
        <v>150</v>
      </c>
      <c r="N49" s="145">
        <v>2</v>
      </c>
      <c r="O49" s="144" t="s">
        <v>415</v>
      </c>
      <c r="P49" s="146">
        <v>4</v>
      </c>
      <c r="Q49" s="160" t="str">
        <f>算分!AD51</f>
        <v>L</v>
      </c>
      <c r="R49" s="161"/>
      <c r="S49" s="162"/>
      <c r="T49" s="161"/>
      <c r="U49" s="163"/>
      <c r="V49" s="161"/>
      <c r="W49" s="164"/>
      <c r="X49" s="163"/>
      <c r="Y49" s="161"/>
      <c r="Z49" s="161"/>
      <c r="AA49" s="161"/>
      <c r="AB49" s="161"/>
      <c r="AC49" s="174"/>
      <c r="AD49" s="87"/>
      <c r="AE49" s="88"/>
      <c r="AF49" s="88"/>
      <c r="AG49" s="88"/>
      <c r="AH49" s="88"/>
      <c r="AI49" s="88"/>
      <c r="AJ49" s="88"/>
      <c r="AK49" s="88"/>
      <c r="AL49" s="88"/>
      <c r="AM49" s="88"/>
      <c r="AN49" s="88"/>
      <c r="AO49" s="88"/>
      <c r="AP49" s="88"/>
      <c r="AQ49" s="88"/>
      <c r="AR49" s="88"/>
      <c r="AS49" s="88"/>
      <c r="AT49" s="88"/>
      <c r="AU49" s="88"/>
    </row>
    <row r="50" spans="1:47" s="79" customFormat="1" ht="60" customHeight="1">
      <c r="A50" s="108"/>
      <c r="B50" s="108"/>
      <c r="C50" s="407"/>
      <c r="D50" s="407"/>
      <c r="E50" s="408"/>
      <c r="F50" s="416"/>
      <c r="G50" s="112" t="s">
        <v>406</v>
      </c>
      <c r="H50" s="118" t="s">
        <v>407</v>
      </c>
      <c r="I50" s="109" t="s">
        <v>416</v>
      </c>
      <c r="J50" s="143">
        <v>5</v>
      </c>
      <c r="K50" s="144" t="s">
        <v>408</v>
      </c>
      <c r="L50" s="144" t="s">
        <v>147</v>
      </c>
      <c r="M50" s="144" t="s">
        <v>148</v>
      </c>
      <c r="N50" s="145">
        <v>4</v>
      </c>
      <c r="O50" s="144" t="s">
        <v>415</v>
      </c>
      <c r="P50" s="146">
        <v>4</v>
      </c>
      <c r="Q50" s="160" t="str">
        <f>算分!AD52</f>
        <v>L</v>
      </c>
      <c r="R50" s="161"/>
      <c r="S50" s="162"/>
      <c r="T50" s="161"/>
      <c r="U50" s="163"/>
      <c r="V50" s="161"/>
      <c r="W50" s="164"/>
      <c r="X50" s="163"/>
      <c r="Y50" s="161"/>
      <c r="Z50" s="161"/>
      <c r="AA50" s="161"/>
      <c r="AB50" s="161"/>
      <c r="AC50" s="174"/>
      <c r="AD50" s="87"/>
      <c r="AE50" s="88"/>
      <c r="AF50" s="88"/>
      <c r="AG50" s="88"/>
      <c r="AH50" s="88"/>
      <c r="AI50" s="88"/>
      <c r="AJ50" s="88"/>
      <c r="AK50" s="88"/>
      <c r="AL50" s="88"/>
      <c r="AM50" s="88"/>
      <c r="AN50" s="88"/>
      <c r="AO50" s="88"/>
      <c r="AP50" s="88"/>
      <c r="AQ50" s="88"/>
      <c r="AR50" s="88"/>
      <c r="AS50" s="88"/>
      <c r="AT50" s="88"/>
      <c r="AU50" s="88"/>
    </row>
    <row r="51" spans="1:47" s="81" customFormat="1" ht="56.25" customHeight="1">
      <c r="A51" s="101"/>
      <c r="B51" s="101"/>
      <c r="C51" s="407"/>
      <c r="D51" s="407"/>
      <c r="E51" s="102" t="s">
        <v>374</v>
      </c>
      <c r="F51" s="119" t="s">
        <v>417</v>
      </c>
      <c r="G51" s="119" t="s">
        <v>418</v>
      </c>
      <c r="H51" s="119" t="s">
        <v>419</v>
      </c>
      <c r="I51" s="102" t="s">
        <v>420</v>
      </c>
      <c r="J51" s="135">
        <v>7</v>
      </c>
      <c r="K51" s="102" t="s">
        <v>131</v>
      </c>
      <c r="L51" s="119" t="s">
        <v>151</v>
      </c>
      <c r="M51" s="102" t="s">
        <v>152</v>
      </c>
      <c r="N51" s="135">
        <v>2</v>
      </c>
      <c r="O51" s="138" t="s">
        <v>376</v>
      </c>
      <c r="P51" s="135">
        <v>4</v>
      </c>
      <c r="Q51" s="160" t="str">
        <f>算分!AD53</f>
        <v>L</v>
      </c>
      <c r="R51" s="161"/>
      <c r="S51" s="162"/>
      <c r="T51" s="161"/>
      <c r="U51" s="163"/>
      <c r="V51" s="161"/>
      <c r="W51" s="164"/>
      <c r="X51" s="163"/>
      <c r="Y51" s="161"/>
      <c r="Z51" s="161"/>
      <c r="AA51" s="161"/>
      <c r="AB51" s="161"/>
      <c r="AC51" s="175"/>
      <c r="AD51" s="176"/>
      <c r="AE51" s="176"/>
      <c r="AF51" s="176"/>
      <c r="AG51" s="176"/>
      <c r="AH51" s="176"/>
      <c r="AI51" s="176"/>
      <c r="AJ51" s="176"/>
      <c r="AK51" s="176"/>
      <c r="AL51" s="176"/>
      <c r="AM51" s="176"/>
      <c r="AN51" s="176"/>
      <c r="AO51" s="176"/>
      <c r="AP51" s="176"/>
      <c r="AQ51" s="176"/>
      <c r="AR51" s="176"/>
      <c r="AS51" s="176"/>
      <c r="AT51" s="176"/>
      <c r="AU51" s="176"/>
    </row>
    <row r="52" spans="1:47" s="82" customFormat="1" ht="56.25" customHeight="1">
      <c r="A52" s="120"/>
      <c r="B52" s="121"/>
      <c r="C52" s="407"/>
      <c r="D52" s="407"/>
      <c r="E52" s="122" t="s">
        <v>350</v>
      </c>
      <c r="F52" s="123" t="s">
        <v>421</v>
      </c>
      <c r="G52" s="123" t="s">
        <v>422</v>
      </c>
      <c r="H52" s="123" t="s">
        <v>423</v>
      </c>
      <c r="I52" s="122" t="s">
        <v>424</v>
      </c>
      <c r="J52" s="155">
        <v>7</v>
      </c>
      <c r="K52" s="122" t="s">
        <v>425</v>
      </c>
      <c r="L52" s="123" t="s">
        <v>153</v>
      </c>
      <c r="M52" s="155" t="s">
        <v>352</v>
      </c>
      <c r="N52" s="155">
        <v>2</v>
      </c>
      <c r="O52" s="155" t="s">
        <v>356</v>
      </c>
      <c r="P52" s="155">
        <v>5</v>
      </c>
      <c r="Q52" s="160" t="str">
        <f>算分!AD54</f>
        <v>L</v>
      </c>
      <c r="R52" s="161"/>
      <c r="S52" s="162"/>
      <c r="T52" s="165" t="s">
        <v>426</v>
      </c>
      <c r="U52" s="163">
        <v>44927</v>
      </c>
      <c r="V52" s="165" t="s">
        <v>427</v>
      </c>
      <c r="W52" s="166" t="s">
        <v>428</v>
      </c>
      <c r="X52" s="163">
        <v>45229</v>
      </c>
      <c r="Y52" s="161">
        <v>7</v>
      </c>
      <c r="Z52" s="161">
        <v>2</v>
      </c>
      <c r="AA52" s="161">
        <v>4</v>
      </c>
      <c r="AB52" s="161" t="s">
        <v>78</v>
      </c>
      <c r="AC52" s="175"/>
      <c r="AD52" s="176"/>
      <c r="AE52" s="176"/>
      <c r="AF52" s="176"/>
      <c r="AG52" s="176"/>
      <c r="AH52" s="176"/>
      <c r="AI52" s="176"/>
      <c r="AJ52" s="176"/>
      <c r="AK52" s="176"/>
      <c r="AL52" s="176"/>
      <c r="AM52" s="176"/>
      <c r="AN52" s="176"/>
      <c r="AO52" s="176"/>
      <c r="AP52" s="176"/>
      <c r="AQ52" s="176"/>
      <c r="AR52" s="176"/>
      <c r="AS52" s="176"/>
      <c r="AT52" s="176"/>
      <c r="AU52" s="176"/>
    </row>
    <row r="53" spans="1:47" s="82" customFormat="1" ht="56.25" customHeight="1">
      <c r="A53" s="120"/>
      <c r="B53" s="121"/>
      <c r="C53" s="407"/>
      <c r="D53" s="407"/>
      <c r="E53" s="122" t="s">
        <v>350</v>
      </c>
      <c r="F53" s="123" t="s">
        <v>429</v>
      </c>
      <c r="G53" s="123" t="s">
        <v>430</v>
      </c>
      <c r="H53" s="123" t="s">
        <v>431</v>
      </c>
      <c r="I53" s="122" t="s">
        <v>432</v>
      </c>
      <c r="J53" s="155">
        <v>3</v>
      </c>
      <c r="K53" s="122" t="s">
        <v>433</v>
      </c>
      <c r="L53" s="122" t="s">
        <v>154</v>
      </c>
      <c r="M53" s="155" t="s">
        <v>155</v>
      </c>
      <c r="N53" s="155">
        <v>3</v>
      </c>
      <c r="O53" s="155" t="s">
        <v>356</v>
      </c>
      <c r="P53" s="155">
        <v>6</v>
      </c>
      <c r="Q53" s="160" t="str">
        <f>算分!AD55</f>
        <v>L</v>
      </c>
      <c r="R53" s="161"/>
      <c r="S53" s="162"/>
      <c r="T53" s="161"/>
      <c r="U53" s="163"/>
      <c r="V53" s="161"/>
      <c r="W53" s="164"/>
      <c r="X53" s="163"/>
      <c r="Y53" s="161"/>
      <c r="Z53" s="161"/>
      <c r="AA53" s="161"/>
      <c r="AB53" s="161" t="s">
        <v>262</v>
      </c>
      <c r="AC53" s="175"/>
      <c r="AD53" s="176"/>
      <c r="AE53" s="176"/>
      <c r="AF53" s="176"/>
      <c r="AG53" s="176"/>
      <c r="AH53" s="176"/>
      <c r="AI53" s="176"/>
      <c r="AJ53" s="176"/>
      <c r="AK53" s="176"/>
      <c r="AL53" s="176"/>
      <c r="AM53" s="176"/>
      <c r="AN53" s="176"/>
      <c r="AO53" s="176"/>
      <c r="AP53" s="176"/>
      <c r="AQ53" s="176"/>
      <c r="AR53" s="176"/>
      <c r="AS53" s="176"/>
      <c r="AT53" s="176"/>
      <c r="AU53" s="176"/>
    </row>
    <row r="54" spans="1:47" s="82" customFormat="1" ht="56.25" customHeight="1">
      <c r="A54" s="120"/>
      <c r="B54" s="121"/>
      <c r="C54" s="407"/>
      <c r="D54" s="407"/>
      <c r="E54" s="122" t="s">
        <v>350</v>
      </c>
      <c r="F54" s="123" t="s">
        <v>429</v>
      </c>
      <c r="G54" s="123" t="s">
        <v>434</v>
      </c>
      <c r="H54" s="123" t="s">
        <v>435</v>
      </c>
      <c r="I54" s="122" t="s">
        <v>432</v>
      </c>
      <c r="J54" s="155">
        <v>3</v>
      </c>
      <c r="K54" s="122" t="s">
        <v>433</v>
      </c>
      <c r="L54" s="122" t="s">
        <v>154</v>
      </c>
      <c r="M54" s="155" t="s">
        <v>155</v>
      </c>
      <c r="N54" s="155">
        <v>3</v>
      </c>
      <c r="O54" s="155" t="s">
        <v>356</v>
      </c>
      <c r="P54" s="155">
        <v>6</v>
      </c>
      <c r="Q54" s="160" t="str">
        <f>算分!AD56</f>
        <v>L</v>
      </c>
      <c r="R54" s="161"/>
      <c r="S54" s="162"/>
      <c r="T54" s="161"/>
      <c r="U54" s="163"/>
      <c r="V54" s="161"/>
      <c r="W54" s="164"/>
      <c r="X54" s="163"/>
      <c r="Y54" s="161"/>
      <c r="Z54" s="161"/>
      <c r="AA54" s="161"/>
      <c r="AB54" s="161" t="s">
        <v>262</v>
      </c>
      <c r="AC54" s="175"/>
      <c r="AD54" s="176"/>
      <c r="AE54" s="176"/>
      <c r="AF54" s="176"/>
      <c r="AG54" s="176"/>
      <c r="AH54" s="176"/>
      <c r="AI54" s="176"/>
      <c r="AJ54" s="176"/>
      <c r="AK54" s="176"/>
      <c r="AL54" s="176"/>
      <c r="AM54" s="176"/>
      <c r="AN54" s="176"/>
      <c r="AO54" s="176"/>
      <c r="AP54" s="176"/>
      <c r="AQ54" s="176"/>
      <c r="AR54" s="176"/>
      <c r="AS54" s="176"/>
      <c r="AT54" s="176"/>
      <c r="AU54" s="176"/>
    </row>
    <row r="55" spans="1:47" s="83" customFormat="1" ht="83.25" customHeight="1">
      <c r="A55" s="124"/>
      <c r="B55" s="124"/>
      <c r="C55" s="407"/>
      <c r="D55" s="407"/>
      <c r="E55" s="125" t="s">
        <v>321</v>
      </c>
      <c r="F55" s="126" t="s">
        <v>436</v>
      </c>
      <c r="G55" s="125" t="s">
        <v>437</v>
      </c>
      <c r="H55" s="125" t="s">
        <v>438</v>
      </c>
      <c r="I55" s="125" t="s">
        <v>439</v>
      </c>
      <c r="J55" s="127">
        <v>7</v>
      </c>
      <c r="K55" s="125" t="s">
        <v>440</v>
      </c>
      <c r="L55" s="125" t="s">
        <v>441</v>
      </c>
      <c r="M55" s="125" t="s">
        <v>157</v>
      </c>
      <c r="N55" s="127">
        <v>2</v>
      </c>
      <c r="O55" s="125" t="s">
        <v>442</v>
      </c>
      <c r="P55" s="127">
        <v>4</v>
      </c>
      <c r="Q55" s="160" t="str">
        <f>算分!AD57</f>
        <v>L</v>
      </c>
      <c r="R55" s="170"/>
      <c r="S55" s="162"/>
      <c r="T55" s="167"/>
      <c r="U55" s="167"/>
      <c r="V55" s="167"/>
      <c r="W55" s="167"/>
      <c r="X55" s="167"/>
      <c r="Y55" s="167"/>
      <c r="Z55" s="167"/>
      <c r="AA55" s="167"/>
      <c r="AB55" s="167"/>
      <c r="AC55" s="177"/>
      <c r="AD55" s="167"/>
    </row>
    <row r="56" spans="1:47" s="83" customFormat="1" ht="89.25" customHeight="1">
      <c r="A56" s="124"/>
      <c r="B56" s="124"/>
      <c r="C56" s="407"/>
      <c r="D56" s="407"/>
      <c r="E56" s="125" t="s">
        <v>321</v>
      </c>
      <c r="F56" s="125" t="s">
        <v>443</v>
      </c>
      <c r="G56" s="127" t="s">
        <v>444</v>
      </c>
      <c r="H56" s="125" t="s">
        <v>445</v>
      </c>
      <c r="I56" s="125" t="s">
        <v>446</v>
      </c>
      <c r="J56" s="127">
        <v>7</v>
      </c>
      <c r="K56" s="125" t="s">
        <v>447</v>
      </c>
      <c r="L56" s="127" t="s">
        <v>158</v>
      </c>
      <c r="M56" s="125" t="s">
        <v>159</v>
      </c>
      <c r="N56" s="127">
        <v>2</v>
      </c>
      <c r="O56" s="125" t="s">
        <v>448</v>
      </c>
      <c r="P56" s="127">
        <v>2</v>
      </c>
      <c r="Q56" s="160" t="str">
        <f>算分!AD58</f>
        <v>L</v>
      </c>
      <c r="R56" s="170"/>
      <c r="S56" s="162"/>
      <c r="T56" s="167"/>
      <c r="U56" s="167"/>
      <c r="V56" s="167"/>
      <c r="W56" s="167"/>
      <c r="X56" s="167"/>
      <c r="Y56" s="167"/>
      <c r="Z56" s="167"/>
      <c r="AA56" s="167"/>
      <c r="AB56" s="167"/>
      <c r="AC56" s="177"/>
      <c r="AD56" s="167"/>
    </row>
    <row r="57" spans="1:47" s="84" customFormat="1" ht="89.25" customHeight="1">
      <c r="A57" s="124"/>
      <c r="B57" s="124"/>
      <c r="C57" s="407"/>
      <c r="D57" s="407"/>
      <c r="E57" s="125" t="s">
        <v>321</v>
      </c>
      <c r="F57" s="125" t="s">
        <v>449</v>
      </c>
      <c r="G57" s="127" t="s">
        <v>450</v>
      </c>
      <c r="H57" s="125" t="s">
        <v>451</v>
      </c>
      <c r="I57" s="125" t="s">
        <v>452</v>
      </c>
      <c r="J57" s="127">
        <v>7</v>
      </c>
      <c r="K57" s="125" t="s">
        <v>453</v>
      </c>
      <c r="L57" s="127" t="s">
        <v>160</v>
      </c>
      <c r="M57" s="125" t="s">
        <v>454</v>
      </c>
      <c r="N57" s="127">
        <v>2</v>
      </c>
      <c r="O57" s="125" t="s">
        <v>455</v>
      </c>
      <c r="P57" s="127">
        <v>2</v>
      </c>
      <c r="Q57" s="160" t="str">
        <f>算分!AD59</f>
        <v>L</v>
      </c>
      <c r="R57" s="171"/>
      <c r="S57" s="162"/>
      <c r="T57" s="167"/>
      <c r="U57" s="167"/>
      <c r="V57" s="167"/>
      <c r="W57" s="167"/>
      <c r="X57" s="167"/>
      <c r="Y57" s="167"/>
      <c r="Z57" s="167"/>
      <c r="AA57" s="167"/>
      <c r="AB57" s="167"/>
      <c r="AC57" s="178"/>
      <c r="AD57" s="178"/>
    </row>
    <row r="58" spans="1:47" s="84" customFormat="1" ht="89.25" customHeight="1">
      <c r="A58" s="124"/>
      <c r="B58" s="124"/>
      <c r="C58" s="407"/>
      <c r="D58" s="407"/>
      <c r="E58" s="125" t="s">
        <v>321</v>
      </c>
      <c r="F58" s="125" t="s">
        <v>456</v>
      </c>
      <c r="G58" s="127" t="s">
        <v>457</v>
      </c>
      <c r="H58" s="125" t="s">
        <v>458</v>
      </c>
      <c r="I58" s="125" t="s">
        <v>459</v>
      </c>
      <c r="J58" s="127">
        <v>7</v>
      </c>
      <c r="K58" s="125" t="s">
        <v>460</v>
      </c>
      <c r="L58" s="127" t="s">
        <v>162</v>
      </c>
      <c r="M58" s="128" t="s">
        <v>165</v>
      </c>
      <c r="N58" s="127">
        <v>2</v>
      </c>
      <c r="O58" s="125" t="s">
        <v>461</v>
      </c>
      <c r="P58" s="127">
        <v>3</v>
      </c>
      <c r="Q58" s="160" t="str">
        <f>算分!AD60</f>
        <v>L</v>
      </c>
      <c r="R58" s="171"/>
      <c r="S58" s="162"/>
      <c r="T58" s="167"/>
      <c r="U58" s="167"/>
      <c r="V58" s="167"/>
      <c r="W58" s="167"/>
      <c r="X58" s="167"/>
      <c r="Y58" s="167"/>
      <c r="Z58" s="167"/>
      <c r="AA58" s="167"/>
      <c r="AB58" s="167"/>
      <c r="AC58" s="178"/>
      <c r="AD58" s="178"/>
    </row>
    <row r="59" spans="1:47" s="82" customFormat="1" ht="56.25" customHeight="1">
      <c r="A59" s="120"/>
      <c r="B59" s="120"/>
      <c r="C59" s="407"/>
      <c r="D59" s="407"/>
      <c r="E59" s="128" t="s">
        <v>350</v>
      </c>
      <c r="F59" s="129" t="s">
        <v>462</v>
      </c>
      <c r="G59" s="129" t="s">
        <v>463</v>
      </c>
      <c r="H59" s="129" t="s">
        <v>464</v>
      </c>
      <c r="I59" s="156" t="s">
        <v>465</v>
      </c>
      <c r="J59" s="156">
        <v>7</v>
      </c>
      <c r="K59" s="128" t="s">
        <v>466</v>
      </c>
      <c r="L59" s="128" t="s">
        <v>164</v>
      </c>
      <c r="M59" s="128" t="s">
        <v>165</v>
      </c>
      <c r="N59" s="156">
        <v>3</v>
      </c>
      <c r="O59" s="125" t="s">
        <v>455</v>
      </c>
      <c r="P59" s="156">
        <v>2</v>
      </c>
      <c r="Q59" s="160" t="str">
        <f>算分!AD61</f>
        <v>L</v>
      </c>
      <c r="R59" s="161"/>
      <c r="S59" s="162"/>
      <c r="T59" s="161"/>
      <c r="U59" s="163"/>
      <c r="V59" s="161"/>
      <c r="W59" s="164"/>
      <c r="X59" s="163"/>
      <c r="Y59" s="161"/>
      <c r="Z59" s="161"/>
      <c r="AA59" s="161"/>
      <c r="AB59" s="161"/>
      <c r="AC59" s="175"/>
      <c r="AD59" s="176"/>
      <c r="AE59" s="176"/>
      <c r="AF59" s="176"/>
      <c r="AG59" s="176"/>
      <c r="AH59" s="176"/>
      <c r="AI59" s="176"/>
      <c r="AJ59" s="176"/>
      <c r="AK59" s="176"/>
      <c r="AL59" s="176"/>
      <c r="AM59" s="176"/>
      <c r="AN59" s="176"/>
      <c r="AO59" s="176"/>
      <c r="AP59" s="176"/>
      <c r="AQ59" s="176"/>
      <c r="AR59" s="176"/>
      <c r="AS59" s="176"/>
      <c r="AT59" s="176"/>
      <c r="AU59" s="176"/>
    </row>
    <row r="60" spans="1:47" s="82" customFormat="1" ht="56.25" customHeight="1">
      <c r="A60" s="120"/>
      <c r="B60" s="120"/>
      <c r="C60" s="407"/>
      <c r="D60" s="407"/>
      <c r="E60" s="128" t="s">
        <v>350</v>
      </c>
      <c r="F60" s="129" t="s">
        <v>467</v>
      </c>
      <c r="G60" s="129" t="s">
        <v>468</v>
      </c>
      <c r="H60" s="129" t="s">
        <v>469</v>
      </c>
      <c r="I60" s="156" t="s">
        <v>465</v>
      </c>
      <c r="J60" s="156">
        <v>7</v>
      </c>
      <c r="K60" s="128" t="s">
        <v>470</v>
      </c>
      <c r="L60" s="128" t="s">
        <v>166</v>
      </c>
      <c r="M60" s="128" t="s">
        <v>165</v>
      </c>
      <c r="N60" s="156">
        <v>3</v>
      </c>
      <c r="O60" s="125" t="s">
        <v>455</v>
      </c>
      <c r="P60" s="156">
        <v>2</v>
      </c>
      <c r="Q60" s="160" t="str">
        <f>算分!AD62</f>
        <v>L</v>
      </c>
      <c r="R60" s="161"/>
      <c r="S60" s="162"/>
      <c r="T60" s="161"/>
      <c r="U60" s="163"/>
      <c r="V60" s="161"/>
      <c r="W60" s="164"/>
      <c r="X60" s="163"/>
      <c r="Y60" s="161"/>
      <c r="Z60" s="161"/>
      <c r="AA60" s="161"/>
      <c r="AB60" s="161"/>
      <c r="AC60" s="175"/>
      <c r="AD60" s="176"/>
      <c r="AE60" s="176"/>
      <c r="AF60" s="176"/>
      <c r="AG60" s="176"/>
      <c r="AH60" s="176"/>
      <c r="AI60" s="176"/>
      <c r="AJ60" s="176"/>
      <c r="AK60" s="176"/>
      <c r="AL60" s="176"/>
      <c r="AM60" s="176"/>
      <c r="AN60" s="176"/>
      <c r="AO60" s="176"/>
      <c r="AP60" s="176"/>
      <c r="AQ60" s="176"/>
      <c r="AR60" s="176"/>
      <c r="AS60" s="176"/>
      <c r="AT60" s="176"/>
      <c r="AU60" s="176"/>
    </row>
    <row r="61" spans="1:47" s="82" customFormat="1" ht="56.25" customHeight="1">
      <c r="A61" s="120"/>
      <c r="B61" s="120"/>
      <c r="C61" s="407"/>
      <c r="D61" s="407"/>
      <c r="E61" s="128" t="s">
        <v>350</v>
      </c>
      <c r="F61" s="129" t="s">
        <v>471</v>
      </c>
      <c r="G61" s="129" t="s">
        <v>472</v>
      </c>
      <c r="H61" s="129" t="s">
        <v>473</v>
      </c>
      <c r="I61" s="156" t="s">
        <v>474</v>
      </c>
      <c r="J61" s="156">
        <v>7</v>
      </c>
      <c r="K61" s="128" t="s">
        <v>475</v>
      </c>
      <c r="L61" s="128" t="s">
        <v>167</v>
      </c>
      <c r="M61" s="128" t="s">
        <v>165</v>
      </c>
      <c r="N61" s="156">
        <v>3</v>
      </c>
      <c r="O61" s="125" t="s">
        <v>455</v>
      </c>
      <c r="P61" s="156">
        <v>2</v>
      </c>
      <c r="Q61" s="160" t="str">
        <f>算分!AD63</f>
        <v>L</v>
      </c>
      <c r="R61" s="161"/>
      <c r="S61" s="162"/>
      <c r="T61" s="161"/>
      <c r="U61" s="163"/>
      <c r="V61" s="161"/>
      <c r="W61" s="164"/>
      <c r="X61" s="163"/>
      <c r="Y61" s="161"/>
      <c r="Z61" s="161"/>
      <c r="AA61" s="161"/>
      <c r="AB61" s="161"/>
      <c r="AC61" s="175"/>
      <c r="AD61" s="176"/>
      <c r="AE61" s="176"/>
      <c r="AF61" s="176"/>
      <c r="AG61" s="176"/>
      <c r="AH61" s="176"/>
      <c r="AI61" s="176"/>
      <c r="AJ61" s="176"/>
      <c r="AK61" s="176"/>
      <c r="AL61" s="176"/>
      <c r="AM61" s="176"/>
      <c r="AN61" s="176"/>
      <c r="AO61" s="176"/>
      <c r="AP61" s="176"/>
      <c r="AQ61" s="176"/>
      <c r="AR61" s="176"/>
      <c r="AS61" s="176"/>
      <c r="AT61" s="176"/>
      <c r="AU61" s="176"/>
    </row>
    <row r="62" spans="1:47" s="82" customFormat="1" ht="56.25" customHeight="1">
      <c r="A62" s="120"/>
      <c r="B62" s="120"/>
      <c r="C62" s="407"/>
      <c r="D62" s="407"/>
      <c r="E62" s="128" t="s">
        <v>350</v>
      </c>
      <c r="F62" s="129" t="s">
        <v>476</v>
      </c>
      <c r="G62" s="130" t="s">
        <v>477</v>
      </c>
      <c r="H62" s="130" t="s">
        <v>478</v>
      </c>
      <c r="I62" s="156" t="s">
        <v>479</v>
      </c>
      <c r="J62" s="156">
        <v>7</v>
      </c>
      <c r="K62" s="128" t="s">
        <v>480</v>
      </c>
      <c r="L62" s="129" t="s">
        <v>168</v>
      </c>
      <c r="M62" s="128" t="s">
        <v>169</v>
      </c>
      <c r="N62" s="156">
        <v>1</v>
      </c>
      <c r="O62" s="157" t="s">
        <v>341</v>
      </c>
      <c r="P62" s="156">
        <v>4</v>
      </c>
      <c r="Q62" s="160" t="str">
        <f>算分!AD64</f>
        <v>L</v>
      </c>
      <c r="R62" s="161"/>
      <c r="S62" s="162"/>
      <c r="T62" s="161"/>
      <c r="U62" s="163"/>
      <c r="V62" s="161"/>
      <c r="W62" s="164"/>
      <c r="X62" s="163"/>
      <c r="Y62" s="161"/>
      <c r="Z62" s="161"/>
      <c r="AA62" s="161"/>
      <c r="AB62" s="161"/>
      <c r="AC62" s="175"/>
      <c r="AD62" s="176"/>
      <c r="AE62" s="176"/>
      <c r="AF62" s="176"/>
      <c r="AG62" s="176"/>
      <c r="AH62" s="176"/>
      <c r="AI62" s="176"/>
      <c r="AJ62" s="176"/>
      <c r="AK62" s="176"/>
      <c r="AL62" s="176"/>
      <c r="AM62" s="176"/>
      <c r="AN62" s="176"/>
      <c r="AO62" s="176"/>
      <c r="AP62" s="176"/>
      <c r="AQ62" s="176"/>
      <c r="AR62" s="176"/>
      <c r="AS62" s="176"/>
      <c r="AT62" s="176"/>
      <c r="AU62" s="176"/>
    </row>
    <row r="63" spans="1:47" s="82" customFormat="1" ht="56.25" customHeight="1">
      <c r="A63" s="120"/>
      <c r="B63" s="120"/>
      <c r="C63" s="407"/>
      <c r="D63" s="407"/>
      <c r="E63" s="128" t="s">
        <v>350</v>
      </c>
      <c r="F63" s="129" t="s">
        <v>481</v>
      </c>
      <c r="G63" s="129" t="s">
        <v>482</v>
      </c>
      <c r="H63" s="130" t="s">
        <v>483</v>
      </c>
      <c r="I63" s="156" t="s">
        <v>479</v>
      </c>
      <c r="J63" s="156">
        <v>7</v>
      </c>
      <c r="K63" s="128" t="s">
        <v>484</v>
      </c>
      <c r="L63" s="129" t="s">
        <v>170</v>
      </c>
      <c r="M63" s="128" t="s">
        <v>485</v>
      </c>
      <c r="N63" s="156">
        <v>3</v>
      </c>
      <c r="O63" s="125" t="s">
        <v>486</v>
      </c>
      <c r="P63" s="156">
        <v>3</v>
      </c>
      <c r="Q63" s="160" t="str">
        <f>算分!AD65</f>
        <v>L</v>
      </c>
      <c r="R63" s="161"/>
      <c r="S63" s="162"/>
      <c r="T63" s="161"/>
      <c r="U63" s="163"/>
      <c r="V63" s="161"/>
      <c r="W63" s="164"/>
      <c r="X63" s="163"/>
      <c r="Y63" s="161"/>
      <c r="Z63" s="161"/>
      <c r="AA63" s="161"/>
      <c r="AB63" s="161"/>
      <c r="AC63" s="175"/>
      <c r="AD63" s="176"/>
      <c r="AE63" s="176"/>
      <c r="AF63" s="176"/>
      <c r="AG63" s="176"/>
      <c r="AH63" s="176"/>
      <c r="AI63" s="176"/>
      <c r="AJ63" s="176"/>
      <c r="AK63" s="176"/>
      <c r="AL63" s="176"/>
      <c r="AM63" s="176"/>
      <c r="AN63" s="176"/>
      <c r="AO63" s="176"/>
      <c r="AP63" s="176"/>
      <c r="AQ63" s="176"/>
      <c r="AR63" s="176"/>
      <c r="AS63" s="176"/>
      <c r="AT63" s="176"/>
      <c r="AU63" s="176"/>
    </row>
    <row r="64" spans="1:47" s="82" customFormat="1" ht="56.25" customHeight="1">
      <c r="A64" s="120"/>
      <c r="B64" s="120"/>
      <c r="C64" s="407"/>
      <c r="D64" s="407"/>
      <c r="E64" s="128" t="s">
        <v>385</v>
      </c>
      <c r="F64" s="129" t="s">
        <v>487</v>
      </c>
      <c r="G64" s="129" t="s">
        <v>488</v>
      </c>
      <c r="H64" s="129" t="s">
        <v>489</v>
      </c>
      <c r="I64" s="128" t="s">
        <v>490</v>
      </c>
      <c r="J64" s="156">
        <v>7</v>
      </c>
      <c r="K64" s="128" t="s">
        <v>491</v>
      </c>
      <c r="L64" s="129" t="s">
        <v>172</v>
      </c>
      <c r="M64" s="128" t="s">
        <v>492</v>
      </c>
      <c r="N64" s="156">
        <v>2</v>
      </c>
      <c r="O64" s="125" t="s">
        <v>455</v>
      </c>
      <c r="P64" s="156">
        <v>2</v>
      </c>
      <c r="Q64" s="160" t="str">
        <f>算分!AD66</f>
        <v>L</v>
      </c>
      <c r="R64" s="161"/>
      <c r="S64" s="162"/>
      <c r="T64" s="161"/>
      <c r="U64" s="163"/>
      <c r="V64" s="161"/>
      <c r="W64" s="164"/>
      <c r="X64" s="163"/>
      <c r="Y64" s="161"/>
      <c r="Z64" s="161"/>
      <c r="AA64" s="161"/>
      <c r="AB64" s="161"/>
      <c r="AC64" s="175"/>
      <c r="AD64" s="176"/>
      <c r="AE64" s="176"/>
      <c r="AF64" s="176"/>
      <c r="AG64" s="176"/>
      <c r="AH64" s="176"/>
      <c r="AI64" s="176"/>
      <c r="AJ64" s="176"/>
      <c r="AK64" s="176"/>
      <c r="AL64" s="176"/>
      <c r="AM64" s="176"/>
      <c r="AN64" s="176"/>
      <c r="AO64" s="176"/>
      <c r="AP64" s="176"/>
      <c r="AQ64" s="176"/>
      <c r="AR64" s="176"/>
      <c r="AS64" s="176"/>
      <c r="AT64" s="176"/>
      <c r="AU64" s="176"/>
    </row>
    <row r="65" spans="1:47" s="82" customFormat="1" ht="56.25" customHeight="1">
      <c r="A65" s="120"/>
      <c r="B65" s="120"/>
      <c r="C65" s="407"/>
      <c r="D65" s="407"/>
      <c r="E65" s="128" t="s">
        <v>374</v>
      </c>
      <c r="F65" s="129" t="s">
        <v>493</v>
      </c>
      <c r="G65" s="129" t="s">
        <v>494</v>
      </c>
      <c r="H65" s="129" t="s">
        <v>495</v>
      </c>
      <c r="I65" s="128" t="s">
        <v>496</v>
      </c>
      <c r="J65" s="156">
        <v>7</v>
      </c>
      <c r="K65" s="128" t="s">
        <v>497</v>
      </c>
      <c r="L65" s="129" t="s">
        <v>174</v>
      </c>
      <c r="M65" s="128" t="s">
        <v>175</v>
      </c>
      <c r="N65" s="156">
        <v>2</v>
      </c>
      <c r="O65" s="125" t="s">
        <v>455</v>
      </c>
      <c r="P65" s="156">
        <v>2</v>
      </c>
      <c r="Q65" s="160" t="str">
        <f>算分!AD67</f>
        <v>L</v>
      </c>
      <c r="R65" s="161"/>
      <c r="S65" s="162"/>
      <c r="T65" s="161"/>
      <c r="U65" s="163"/>
      <c r="V65" s="161"/>
      <c r="W65" s="164"/>
      <c r="X65" s="163"/>
      <c r="Y65" s="161"/>
      <c r="Z65" s="161"/>
      <c r="AA65" s="161"/>
      <c r="AB65" s="161"/>
      <c r="AC65" s="175"/>
      <c r="AD65" s="176"/>
      <c r="AE65" s="176"/>
      <c r="AF65" s="176"/>
      <c r="AG65" s="176"/>
      <c r="AH65" s="176"/>
      <c r="AI65" s="176"/>
      <c r="AJ65" s="176"/>
      <c r="AK65" s="176"/>
      <c r="AL65" s="176"/>
      <c r="AM65" s="176"/>
      <c r="AN65" s="176"/>
      <c r="AO65" s="176"/>
      <c r="AP65" s="176"/>
      <c r="AQ65" s="176"/>
      <c r="AR65" s="176"/>
      <c r="AS65" s="176"/>
      <c r="AT65" s="176"/>
      <c r="AU65" s="176"/>
    </row>
    <row r="66" spans="1:47" s="82" customFormat="1" ht="56.25" customHeight="1">
      <c r="A66" s="120"/>
      <c r="B66" s="120"/>
      <c r="C66" s="407"/>
      <c r="D66" s="407"/>
      <c r="E66" s="128" t="s">
        <v>350</v>
      </c>
      <c r="F66" s="129" t="s">
        <v>498</v>
      </c>
      <c r="G66" s="129" t="s">
        <v>499</v>
      </c>
      <c r="H66" s="129" t="s">
        <v>500</v>
      </c>
      <c r="I66" s="128" t="s">
        <v>501</v>
      </c>
      <c r="J66" s="156">
        <v>7</v>
      </c>
      <c r="K66" s="128" t="s">
        <v>502</v>
      </c>
      <c r="L66" s="129" t="s">
        <v>176</v>
      </c>
      <c r="M66" s="128" t="s">
        <v>177</v>
      </c>
      <c r="N66" s="156">
        <v>3</v>
      </c>
      <c r="O66" s="125" t="s">
        <v>455</v>
      </c>
      <c r="P66" s="156">
        <v>2</v>
      </c>
      <c r="Q66" s="160" t="str">
        <f>算分!AD68</f>
        <v>L</v>
      </c>
      <c r="R66" s="161"/>
      <c r="S66" s="162"/>
      <c r="T66" s="161"/>
      <c r="U66" s="163"/>
      <c r="V66" s="161"/>
      <c r="W66" s="164"/>
      <c r="X66" s="163"/>
      <c r="Y66" s="161"/>
      <c r="Z66" s="161"/>
      <c r="AA66" s="161"/>
      <c r="AB66" s="161"/>
      <c r="AC66" s="175"/>
      <c r="AD66" s="176"/>
      <c r="AE66" s="176"/>
      <c r="AF66" s="176"/>
      <c r="AG66" s="176"/>
      <c r="AH66" s="176"/>
      <c r="AI66" s="176"/>
      <c r="AJ66" s="176"/>
      <c r="AK66" s="176"/>
      <c r="AL66" s="176"/>
      <c r="AM66" s="176"/>
      <c r="AN66" s="176"/>
      <c r="AO66" s="176"/>
      <c r="AP66" s="176"/>
      <c r="AQ66" s="176"/>
      <c r="AR66" s="176"/>
      <c r="AS66" s="176"/>
      <c r="AT66" s="176"/>
      <c r="AU66" s="176"/>
    </row>
    <row r="67" spans="1:47" s="82" customFormat="1" ht="56.25" customHeight="1">
      <c r="A67" s="120"/>
      <c r="B67" s="120"/>
      <c r="C67" s="407"/>
      <c r="D67" s="407"/>
      <c r="E67" s="128" t="s">
        <v>350</v>
      </c>
      <c r="F67" s="129" t="s">
        <v>503</v>
      </c>
      <c r="G67" s="129" t="s">
        <v>504</v>
      </c>
      <c r="H67" s="129" t="s">
        <v>505</v>
      </c>
      <c r="I67" s="156" t="s">
        <v>506</v>
      </c>
      <c r="J67" s="156">
        <v>7</v>
      </c>
      <c r="K67" s="128" t="s">
        <v>507</v>
      </c>
      <c r="L67" s="128" t="s">
        <v>178</v>
      </c>
      <c r="M67" s="128" t="s">
        <v>508</v>
      </c>
      <c r="N67" s="156">
        <v>3</v>
      </c>
      <c r="O67" s="125" t="s">
        <v>455</v>
      </c>
      <c r="P67" s="156">
        <v>2</v>
      </c>
      <c r="Q67" s="160" t="str">
        <f>算分!AD69</f>
        <v>L</v>
      </c>
      <c r="R67" s="161"/>
      <c r="S67" s="162"/>
      <c r="T67" s="161"/>
      <c r="U67" s="163"/>
      <c r="V67" s="161"/>
      <c r="W67" s="164"/>
      <c r="X67" s="163"/>
      <c r="Y67" s="161"/>
      <c r="Z67" s="161"/>
      <c r="AA67" s="161"/>
      <c r="AB67" s="161"/>
      <c r="AC67" s="175"/>
      <c r="AD67" s="176"/>
      <c r="AE67" s="176"/>
      <c r="AF67" s="176"/>
      <c r="AG67" s="176"/>
      <c r="AH67" s="176"/>
      <c r="AI67" s="176"/>
      <c r="AJ67" s="176"/>
      <c r="AK67" s="176"/>
      <c r="AL67" s="176"/>
      <c r="AM67" s="176"/>
      <c r="AN67" s="176"/>
      <c r="AO67" s="176"/>
      <c r="AP67" s="176"/>
      <c r="AQ67" s="176"/>
      <c r="AR67" s="176"/>
      <c r="AS67" s="176"/>
      <c r="AT67" s="176"/>
      <c r="AU67" s="176"/>
    </row>
    <row r="68" spans="1:47" s="82" customFormat="1" ht="56.25" customHeight="1">
      <c r="A68" s="120"/>
      <c r="B68" s="120"/>
      <c r="C68" s="407"/>
      <c r="D68" s="407"/>
      <c r="E68" s="128" t="s">
        <v>350</v>
      </c>
      <c r="F68" s="129" t="s">
        <v>509</v>
      </c>
      <c r="G68" s="129" t="s">
        <v>510</v>
      </c>
      <c r="H68" s="129" t="s">
        <v>511</v>
      </c>
      <c r="I68" s="128" t="s">
        <v>512</v>
      </c>
      <c r="J68" s="156">
        <v>7</v>
      </c>
      <c r="K68" s="128" t="s">
        <v>513</v>
      </c>
      <c r="L68" s="128" t="s">
        <v>180</v>
      </c>
      <c r="M68" s="128" t="s">
        <v>165</v>
      </c>
      <c r="N68" s="156">
        <v>3</v>
      </c>
      <c r="O68" s="125" t="s">
        <v>455</v>
      </c>
      <c r="P68" s="156">
        <v>2</v>
      </c>
      <c r="Q68" s="160" t="str">
        <f>算分!AD70</f>
        <v>L</v>
      </c>
      <c r="R68" s="161"/>
      <c r="S68" s="162"/>
      <c r="T68" s="161"/>
      <c r="U68" s="163"/>
      <c r="V68" s="161"/>
      <c r="W68" s="164"/>
      <c r="X68" s="163"/>
      <c r="Y68" s="161"/>
      <c r="Z68" s="161"/>
      <c r="AA68" s="161"/>
      <c r="AB68" s="161" t="s">
        <v>262</v>
      </c>
      <c r="AC68" s="175"/>
      <c r="AD68" s="176"/>
      <c r="AE68" s="176"/>
      <c r="AF68" s="176"/>
      <c r="AG68" s="176"/>
      <c r="AH68" s="176"/>
      <c r="AI68" s="176"/>
      <c r="AJ68" s="176"/>
      <c r="AK68" s="176"/>
      <c r="AL68" s="176"/>
      <c r="AM68" s="176"/>
      <c r="AN68" s="176"/>
      <c r="AO68" s="176"/>
      <c r="AP68" s="176"/>
      <c r="AQ68" s="176"/>
      <c r="AR68" s="176"/>
      <c r="AS68" s="176"/>
      <c r="AT68" s="176"/>
      <c r="AU68" s="176"/>
    </row>
    <row r="69" spans="1:47" s="82" customFormat="1" ht="56.25" customHeight="1">
      <c r="A69" s="120"/>
      <c r="B69" s="120"/>
      <c r="C69" s="407"/>
      <c r="D69" s="407"/>
      <c r="E69" s="128" t="s">
        <v>350</v>
      </c>
      <c r="F69" s="129" t="s">
        <v>514</v>
      </c>
      <c r="G69" s="129" t="s">
        <v>515</v>
      </c>
      <c r="H69" s="129" t="s">
        <v>516</v>
      </c>
      <c r="I69" s="128" t="s">
        <v>517</v>
      </c>
      <c r="J69" s="156">
        <v>7</v>
      </c>
      <c r="K69" s="128" t="s">
        <v>518</v>
      </c>
      <c r="L69" s="128" t="s">
        <v>181</v>
      </c>
      <c r="M69" s="128" t="s">
        <v>165</v>
      </c>
      <c r="N69" s="156">
        <v>3</v>
      </c>
      <c r="O69" s="125" t="s">
        <v>455</v>
      </c>
      <c r="P69" s="156">
        <v>2</v>
      </c>
      <c r="Q69" s="160" t="str">
        <f>算分!AD71</f>
        <v>L</v>
      </c>
      <c r="R69" s="161"/>
      <c r="S69" s="162"/>
      <c r="T69" s="161"/>
      <c r="U69" s="163"/>
      <c r="V69" s="161"/>
      <c r="W69" s="164"/>
      <c r="X69" s="163"/>
      <c r="Y69" s="161"/>
      <c r="Z69" s="161"/>
      <c r="AA69" s="161"/>
      <c r="AB69" s="161"/>
      <c r="AC69" s="175"/>
      <c r="AD69" s="176"/>
      <c r="AE69" s="176"/>
      <c r="AF69" s="176"/>
      <c r="AG69" s="176"/>
      <c r="AH69" s="176"/>
      <c r="AI69" s="176"/>
      <c r="AJ69" s="176"/>
      <c r="AK69" s="176"/>
      <c r="AL69" s="176"/>
      <c r="AM69" s="176"/>
      <c r="AN69" s="176"/>
      <c r="AO69" s="176"/>
      <c r="AP69" s="176"/>
      <c r="AQ69" s="176"/>
      <c r="AR69" s="176"/>
      <c r="AS69" s="176"/>
      <c r="AT69" s="176"/>
      <c r="AU69" s="176"/>
    </row>
    <row r="70" spans="1:47">
      <c r="Q70" s="87" t="s">
        <v>262</v>
      </c>
    </row>
    <row r="71" spans="1:47">
      <c r="Q71" s="87" t="s">
        <v>262</v>
      </c>
    </row>
    <row r="72" spans="1:47">
      <c r="Q72" s="87" t="s">
        <v>262</v>
      </c>
    </row>
    <row r="73" spans="1:47">
      <c r="Q73" s="87" t="s">
        <v>262</v>
      </c>
    </row>
    <row r="74" spans="1:47">
      <c r="Q74" s="87" t="s">
        <v>262</v>
      </c>
    </row>
    <row r="75" spans="1:47">
      <c r="Q75" s="87" t="s">
        <v>262</v>
      </c>
    </row>
    <row r="76" spans="1:47">
      <c r="Q76" s="87" t="s">
        <v>262</v>
      </c>
    </row>
    <row r="77" spans="1:47">
      <c r="Q77" s="87" t="s">
        <v>262</v>
      </c>
    </row>
    <row r="78" spans="1:47">
      <c r="Q78" s="87" t="s">
        <v>262</v>
      </c>
    </row>
    <row r="79" spans="1:47">
      <c r="Q79" s="87" t="s">
        <v>262</v>
      </c>
    </row>
  </sheetData>
  <mergeCells count="62">
    <mergeCell ref="A1:X1"/>
    <mergeCell ref="Y1:AC1"/>
    <mergeCell ref="A2:H2"/>
    <mergeCell ref="A3:C3"/>
    <mergeCell ref="D3:H3"/>
    <mergeCell ref="I3:K3"/>
    <mergeCell ref="L3:Q3"/>
    <mergeCell ref="R3:S3"/>
    <mergeCell ref="T3:V3"/>
    <mergeCell ref="W3:X3"/>
    <mergeCell ref="Y3:AC3"/>
    <mergeCell ref="A4:C4"/>
    <mergeCell ref="D4:H4"/>
    <mergeCell ref="I4:K4"/>
    <mergeCell ref="L4:Q4"/>
    <mergeCell ref="R4:S4"/>
    <mergeCell ref="T4:V4"/>
    <mergeCell ref="W4:X4"/>
    <mergeCell ref="Y4:AC4"/>
    <mergeCell ref="A5:C5"/>
    <mergeCell ref="D5:H5"/>
    <mergeCell ref="I5:K5"/>
    <mergeCell ref="L5:Q5"/>
    <mergeCell ref="R5:S5"/>
    <mergeCell ref="T5:AC5"/>
    <mergeCell ref="R9:AB9"/>
    <mergeCell ref="A6:C6"/>
    <mergeCell ref="D6:H6"/>
    <mergeCell ref="I6:K6"/>
    <mergeCell ref="L6:Q6"/>
    <mergeCell ref="R6:S6"/>
    <mergeCell ref="T6:AC6"/>
    <mergeCell ref="F49:F50"/>
    <mergeCell ref="A7:C7"/>
    <mergeCell ref="D7:H7"/>
    <mergeCell ref="I7:K7"/>
    <mergeCell ref="L7:AC7"/>
    <mergeCell ref="A9:B9"/>
    <mergeCell ref="C9:E9"/>
    <mergeCell ref="F9:H9"/>
    <mergeCell ref="I9:L9"/>
    <mergeCell ref="M9:Q9"/>
    <mergeCell ref="H28:H30"/>
    <mergeCell ref="H31:H33"/>
    <mergeCell ref="H34:H36"/>
    <mergeCell ref="H37:H39"/>
    <mergeCell ref="C11:C69"/>
    <mergeCell ref="D11:D69"/>
    <mergeCell ref="E49:E50"/>
    <mergeCell ref="F12:F39"/>
    <mergeCell ref="F40:F43"/>
    <mergeCell ref="F44:F48"/>
    <mergeCell ref="I12:I39"/>
    <mergeCell ref="I40:I43"/>
    <mergeCell ref="K12:K39"/>
    <mergeCell ref="K40:K43"/>
    <mergeCell ref="AC9:AC10"/>
    <mergeCell ref="G12:G39"/>
    <mergeCell ref="H17:H18"/>
    <mergeCell ref="H19:H21"/>
    <mergeCell ref="H22:H24"/>
    <mergeCell ref="H25:H27"/>
  </mergeCells>
  <phoneticPr fontId="2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E7782-1C07-4428-9838-4252F390C363}">
  <dimension ref="A1:Q56"/>
  <sheetViews>
    <sheetView topLeftCell="G7" zoomScale="145" zoomScaleNormal="145" workbookViewId="0">
      <selection activeCell="M14" sqref="M14"/>
    </sheetView>
  </sheetViews>
  <sheetFormatPr defaultColWidth="9" defaultRowHeight="13.5"/>
  <cols>
    <col min="1" max="4" width="9" style="68" bestFit="1" customWidth="1"/>
    <col min="5" max="5" width="13.3984375" style="68" bestFit="1" customWidth="1"/>
    <col min="6" max="6" width="9" style="68" bestFit="1" customWidth="1"/>
    <col min="7" max="7" width="15.1328125" style="68" bestFit="1" customWidth="1"/>
    <col min="8" max="8" width="9" style="68" bestFit="1" customWidth="1"/>
    <col min="9" max="9" width="9.73046875" style="68" bestFit="1" customWidth="1"/>
    <col min="10" max="12" width="9" style="68" bestFit="1" customWidth="1"/>
    <col min="13" max="13" width="12.265625" style="68" customWidth="1"/>
    <col min="14" max="14" width="10.46484375" style="68" customWidth="1"/>
    <col min="15" max="15" width="29.265625" style="68" customWidth="1"/>
    <col min="16" max="16" width="48.265625" style="68" customWidth="1"/>
    <col min="17" max="17" width="12.1328125" style="68" customWidth="1"/>
    <col min="18" max="18" width="9" style="68" bestFit="1"/>
    <col min="19" max="16384" width="9" style="68"/>
  </cols>
  <sheetData>
    <row r="1" spans="1:17">
      <c r="M1" s="451" t="s">
        <v>519</v>
      </c>
      <c r="N1" s="451"/>
      <c r="O1" s="451"/>
      <c r="P1" s="451"/>
    </row>
    <row r="2" spans="1:17">
      <c r="A2" s="69"/>
      <c r="B2" s="69"/>
      <c r="C2" s="69"/>
      <c r="D2" s="69"/>
      <c r="E2" s="69"/>
      <c r="F2" s="69"/>
      <c r="G2" s="69"/>
      <c r="H2" s="69"/>
      <c r="I2" s="69"/>
      <c r="J2" s="69"/>
      <c r="K2" s="69"/>
      <c r="M2" s="71" t="s">
        <v>520</v>
      </c>
      <c r="N2" s="71" t="s">
        <v>521</v>
      </c>
      <c r="O2" s="72" t="s">
        <v>522</v>
      </c>
      <c r="P2" s="72" t="s">
        <v>523</v>
      </c>
      <c r="Q2" s="74"/>
    </row>
    <row r="3" spans="1:17" ht="38.25">
      <c r="A3" s="69"/>
      <c r="B3" s="69"/>
      <c r="C3" s="69"/>
      <c r="D3" s="69"/>
      <c r="E3" s="69"/>
      <c r="F3" s="69"/>
      <c r="G3" s="69"/>
      <c r="H3" s="69"/>
      <c r="I3" s="69"/>
      <c r="J3" s="69"/>
      <c r="K3" s="69"/>
      <c r="M3" s="271" t="s">
        <v>524</v>
      </c>
      <c r="N3" s="271" t="s">
        <v>525</v>
      </c>
      <c r="O3" s="287" t="s">
        <v>677</v>
      </c>
      <c r="P3" s="271" t="s">
        <v>526</v>
      </c>
      <c r="Q3" s="272" t="s">
        <v>527</v>
      </c>
    </row>
    <row r="4" spans="1:17" ht="38.25">
      <c r="A4" s="69"/>
      <c r="B4" s="69"/>
      <c r="C4" s="69"/>
      <c r="D4" s="69"/>
      <c r="E4" s="69"/>
      <c r="F4" s="69"/>
      <c r="G4" s="69"/>
      <c r="H4" s="69"/>
      <c r="I4" s="69"/>
      <c r="J4" s="69"/>
      <c r="K4" s="69"/>
      <c r="M4" s="271" t="s">
        <v>528</v>
      </c>
      <c r="N4" s="271" t="s">
        <v>525</v>
      </c>
      <c r="O4" s="273" t="s">
        <v>529</v>
      </c>
      <c r="P4" s="273" t="s">
        <v>530</v>
      </c>
      <c r="Q4" s="272" t="s">
        <v>527</v>
      </c>
    </row>
    <row r="5" spans="1:17" ht="25.5">
      <c r="A5" s="69"/>
      <c r="B5" s="69"/>
      <c r="C5" s="69"/>
      <c r="D5" s="69"/>
      <c r="E5" s="69"/>
      <c r="F5" s="69"/>
      <c r="G5" s="69"/>
      <c r="H5" s="69"/>
      <c r="I5" s="69"/>
      <c r="J5" s="69"/>
      <c r="K5" s="69"/>
      <c r="M5" s="271" t="s">
        <v>350</v>
      </c>
      <c r="N5" s="271" t="s">
        <v>347</v>
      </c>
      <c r="O5" s="273" t="s">
        <v>531</v>
      </c>
      <c r="P5" s="289" t="s">
        <v>702</v>
      </c>
      <c r="Q5" s="274" t="s">
        <v>532</v>
      </c>
    </row>
    <row r="6" spans="1:17" ht="25.5">
      <c r="A6" s="69"/>
      <c r="B6" s="69"/>
      <c r="C6" s="69"/>
      <c r="D6" s="69"/>
      <c r="E6" s="69"/>
      <c r="F6" s="69"/>
      <c r="G6" s="69"/>
      <c r="H6" s="69"/>
      <c r="I6" s="69"/>
      <c r="J6" s="69"/>
      <c r="K6" s="69"/>
      <c r="M6" s="271" t="s">
        <v>321</v>
      </c>
      <c r="N6" s="271" t="s">
        <v>347</v>
      </c>
      <c r="O6" s="273" t="s">
        <v>533</v>
      </c>
      <c r="P6" s="273" t="s">
        <v>660</v>
      </c>
      <c r="Q6" s="274" t="s">
        <v>532</v>
      </c>
    </row>
    <row r="7" spans="1:17" ht="24" customHeight="1">
      <c r="A7" s="69"/>
      <c r="B7" s="69"/>
      <c r="C7" s="69"/>
      <c r="D7" s="69"/>
      <c r="E7" s="69"/>
      <c r="F7" s="69"/>
      <c r="G7" s="69"/>
      <c r="H7" s="69"/>
      <c r="I7" s="69"/>
      <c r="J7" s="69"/>
      <c r="K7" s="69"/>
      <c r="M7" s="275" t="s">
        <v>321</v>
      </c>
      <c r="N7" s="275" t="s">
        <v>347</v>
      </c>
      <c r="O7" s="276" t="s">
        <v>648</v>
      </c>
      <c r="P7" s="275" t="s">
        <v>649</v>
      </c>
      <c r="Q7" s="274" t="s">
        <v>532</v>
      </c>
    </row>
    <row r="8" spans="1:17">
      <c r="M8" s="271" t="s">
        <v>344</v>
      </c>
      <c r="N8" s="271" t="s">
        <v>347</v>
      </c>
      <c r="O8" s="271" t="s">
        <v>647</v>
      </c>
      <c r="P8" s="290" t="s">
        <v>703</v>
      </c>
      <c r="Q8" s="274" t="s">
        <v>532</v>
      </c>
    </row>
    <row r="9" spans="1:17" ht="25.5">
      <c r="M9" s="291" t="s">
        <v>344</v>
      </c>
      <c r="N9" s="291" t="s">
        <v>347</v>
      </c>
      <c r="O9" s="291" t="s">
        <v>711</v>
      </c>
      <c r="P9" s="291" t="s">
        <v>704</v>
      </c>
      <c r="Q9" s="292" t="s">
        <v>532</v>
      </c>
    </row>
    <row r="10" spans="1:17" ht="38.25">
      <c r="M10" s="291" t="s">
        <v>344</v>
      </c>
      <c r="N10" s="291" t="s">
        <v>347</v>
      </c>
      <c r="O10" s="291" t="s">
        <v>651</v>
      </c>
      <c r="P10" s="293" t="s">
        <v>650</v>
      </c>
      <c r="Q10" s="292" t="s">
        <v>532</v>
      </c>
    </row>
    <row r="11" spans="1:17" ht="38.25">
      <c r="M11" s="294" t="s">
        <v>344</v>
      </c>
      <c r="N11" s="294" t="s">
        <v>347</v>
      </c>
      <c r="O11" s="293" t="s">
        <v>676</v>
      </c>
      <c r="P11" s="293" t="s">
        <v>712</v>
      </c>
      <c r="Q11" s="292" t="s">
        <v>532</v>
      </c>
    </row>
    <row r="12" spans="1:17" ht="31.5" customHeight="1">
      <c r="M12" s="291" t="s">
        <v>368</v>
      </c>
      <c r="N12" s="291" t="s">
        <v>347</v>
      </c>
      <c r="O12" s="291" t="s">
        <v>534</v>
      </c>
      <c r="P12" s="291" t="s">
        <v>705</v>
      </c>
      <c r="Q12" s="292" t="s">
        <v>532</v>
      </c>
    </row>
    <row r="13" spans="1:17" ht="25.5">
      <c r="M13" s="291" t="s">
        <v>368</v>
      </c>
      <c r="N13" s="291" t="s">
        <v>347</v>
      </c>
      <c r="O13" s="291" t="s">
        <v>713</v>
      </c>
      <c r="P13" s="291" t="s">
        <v>709</v>
      </c>
      <c r="Q13" s="292" t="s">
        <v>532</v>
      </c>
    </row>
    <row r="14" spans="1:17" ht="25.5">
      <c r="M14" s="291" t="s">
        <v>371</v>
      </c>
      <c r="N14" s="291" t="s">
        <v>347</v>
      </c>
      <c r="O14" s="291" t="s">
        <v>534</v>
      </c>
      <c r="P14" s="291" t="s">
        <v>706</v>
      </c>
      <c r="Q14" s="292" t="s">
        <v>532</v>
      </c>
    </row>
    <row r="15" spans="1:17" ht="25.5">
      <c r="M15" s="291" t="s">
        <v>371</v>
      </c>
      <c r="N15" s="291" t="s">
        <v>347</v>
      </c>
      <c r="O15" s="291" t="s">
        <v>714</v>
      </c>
      <c r="P15" s="293" t="s">
        <v>535</v>
      </c>
      <c r="Q15" s="292" t="s">
        <v>532</v>
      </c>
    </row>
    <row r="16" spans="1:17" ht="19.5" customHeight="1">
      <c r="M16" s="294" t="s">
        <v>536</v>
      </c>
      <c r="N16" s="294" t="s">
        <v>537</v>
      </c>
      <c r="O16" s="294" t="s">
        <v>534</v>
      </c>
      <c r="P16" s="293" t="s">
        <v>707</v>
      </c>
      <c r="Q16" s="292" t="s">
        <v>538</v>
      </c>
    </row>
    <row r="17" spans="5:17" ht="25.5">
      <c r="M17" s="294" t="s">
        <v>537</v>
      </c>
      <c r="N17" s="294" t="s">
        <v>536</v>
      </c>
      <c r="O17" s="291" t="s">
        <v>715</v>
      </c>
      <c r="P17" s="293" t="s">
        <v>708</v>
      </c>
      <c r="Q17" s="292" t="s">
        <v>674</v>
      </c>
    </row>
    <row r="18" spans="5:17" ht="25.5">
      <c r="M18" s="294" t="s">
        <v>536</v>
      </c>
      <c r="N18" s="294" t="s">
        <v>539</v>
      </c>
      <c r="O18" s="294" t="s">
        <v>675</v>
      </c>
      <c r="P18" s="293" t="s">
        <v>716</v>
      </c>
      <c r="Q18" s="292" t="s">
        <v>674</v>
      </c>
    </row>
    <row r="19" spans="5:17" ht="38.25">
      <c r="M19" s="294" t="s">
        <v>536</v>
      </c>
      <c r="N19" s="294" t="s">
        <v>539</v>
      </c>
      <c r="O19" s="291" t="s">
        <v>717</v>
      </c>
      <c r="P19" s="294" t="s">
        <v>710</v>
      </c>
      <c r="Q19" s="292" t="s">
        <v>538</v>
      </c>
    </row>
    <row r="20" spans="5:17">
      <c r="M20" s="73"/>
      <c r="N20" s="73"/>
      <c r="O20" s="73"/>
      <c r="P20" s="73"/>
      <c r="Q20" s="73"/>
    </row>
    <row r="21" spans="5:17">
      <c r="P21" s="73"/>
      <c r="Q21" s="73"/>
    </row>
    <row r="22" spans="5:17">
      <c r="P22" s="73"/>
      <c r="Q22" s="73"/>
    </row>
    <row r="23" spans="5:17">
      <c r="P23" s="73"/>
      <c r="Q23" s="73"/>
    </row>
    <row r="24" spans="5:17">
      <c r="P24" s="73"/>
      <c r="Q24" s="73"/>
    </row>
    <row r="25" spans="5:17">
      <c r="P25" s="73"/>
      <c r="Q25" s="73"/>
    </row>
    <row r="26" spans="5:17">
      <c r="P26" s="73"/>
      <c r="Q26" s="73"/>
    </row>
    <row r="27" spans="5:17">
      <c r="P27" s="73"/>
      <c r="Q27" s="73"/>
    </row>
    <row r="28" spans="5:17">
      <c r="M28" s="73"/>
      <c r="N28" s="73"/>
      <c r="O28" s="73"/>
      <c r="P28" s="73"/>
      <c r="Q28" s="73"/>
    </row>
    <row r="29" spans="5:17">
      <c r="M29" s="73"/>
      <c r="N29" s="73"/>
      <c r="O29" s="73"/>
      <c r="P29" s="73"/>
      <c r="Q29" s="73"/>
    </row>
    <row r="30" spans="5:17">
      <c r="M30" s="73"/>
      <c r="N30" s="73"/>
      <c r="O30" s="73"/>
      <c r="P30" s="73"/>
      <c r="Q30" s="73"/>
    </row>
    <row r="31" spans="5:17">
      <c r="M31" s="73"/>
      <c r="N31" s="73"/>
      <c r="O31" s="73"/>
      <c r="P31" s="73"/>
      <c r="Q31" s="73"/>
    </row>
    <row r="32" spans="5:17">
      <c r="E32" s="70"/>
      <c r="M32" s="73"/>
      <c r="N32" s="73"/>
      <c r="O32" s="73"/>
      <c r="P32" s="73"/>
      <c r="Q32" s="73"/>
    </row>
    <row r="33" spans="5:17">
      <c r="E33" s="70"/>
      <c r="M33" s="73"/>
      <c r="N33" s="73"/>
      <c r="O33" s="73"/>
      <c r="P33" s="73"/>
      <c r="Q33" s="73"/>
    </row>
    <row r="34" spans="5:17">
      <c r="E34" s="70"/>
      <c r="M34" s="73"/>
      <c r="N34" s="73"/>
      <c r="O34" s="73"/>
      <c r="P34" s="73"/>
      <c r="Q34" s="73"/>
    </row>
    <row r="35" spans="5:17">
      <c r="M35" s="73"/>
      <c r="N35" s="73"/>
      <c r="O35" s="73"/>
      <c r="P35" s="73"/>
      <c r="Q35" s="73"/>
    </row>
    <row r="36" spans="5:17">
      <c r="M36" s="73"/>
      <c r="N36" s="73"/>
      <c r="O36" s="73"/>
      <c r="P36" s="73"/>
      <c r="Q36" s="73"/>
    </row>
    <row r="37" spans="5:17">
      <c r="M37" s="73"/>
      <c r="N37" s="73"/>
      <c r="O37" s="73"/>
      <c r="P37" s="73"/>
      <c r="Q37" s="73"/>
    </row>
    <row r="38" spans="5:17">
      <c r="M38" s="73"/>
      <c r="N38" s="73"/>
      <c r="O38" s="73"/>
      <c r="P38" s="73"/>
      <c r="Q38" s="73"/>
    </row>
    <row r="39" spans="5:17">
      <c r="M39" s="73"/>
      <c r="N39" s="73"/>
      <c r="O39" s="73"/>
      <c r="P39" s="73"/>
      <c r="Q39" s="73"/>
    </row>
    <row r="40" spans="5:17">
      <c r="M40" s="73"/>
      <c r="N40" s="73"/>
      <c r="O40" s="73"/>
      <c r="P40" s="73"/>
      <c r="Q40" s="73"/>
    </row>
    <row r="41" spans="5:17">
      <c r="M41" s="73"/>
      <c r="N41" s="73"/>
      <c r="O41" s="73"/>
      <c r="P41" s="73"/>
      <c r="Q41" s="73"/>
    </row>
    <row r="42" spans="5:17">
      <c r="F42" s="70"/>
      <c r="G42" s="70"/>
      <c r="M42" s="73"/>
      <c r="N42" s="73"/>
      <c r="O42" s="73"/>
      <c r="P42" s="73"/>
      <c r="Q42" s="73"/>
    </row>
    <row r="43" spans="5:17">
      <c r="F43" s="70"/>
      <c r="G43" s="70"/>
      <c r="M43" s="73"/>
      <c r="N43" s="73"/>
      <c r="O43" s="73"/>
      <c r="P43" s="73"/>
      <c r="Q43" s="73"/>
    </row>
    <row r="44" spans="5:17">
      <c r="M44" s="73"/>
      <c r="N44" s="73"/>
      <c r="O44" s="73"/>
      <c r="P44" s="73"/>
      <c r="Q44" s="73"/>
    </row>
    <row r="45" spans="5:17">
      <c r="M45" s="73"/>
      <c r="N45" s="73"/>
      <c r="O45" s="73"/>
      <c r="P45" s="73"/>
      <c r="Q45" s="73"/>
    </row>
    <row r="46" spans="5:17">
      <c r="M46" s="73"/>
      <c r="N46" s="73"/>
      <c r="O46" s="73"/>
      <c r="P46" s="73"/>
      <c r="Q46" s="73"/>
    </row>
    <row r="47" spans="5:17">
      <c r="M47" s="73"/>
      <c r="N47" s="73"/>
      <c r="O47" s="73"/>
      <c r="P47" s="73"/>
      <c r="Q47" s="73"/>
    </row>
    <row r="48" spans="5:17">
      <c r="M48" s="73"/>
      <c r="N48" s="73"/>
      <c r="O48" s="73"/>
      <c r="P48" s="73"/>
      <c r="Q48" s="73"/>
    </row>
    <row r="49" spans="13:17">
      <c r="M49" s="73"/>
      <c r="N49" s="73"/>
      <c r="O49" s="73"/>
      <c r="P49" s="73"/>
      <c r="Q49" s="73"/>
    </row>
    <row r="50" spans="13:17">
      <c r="M50" s="73"/>
      <c r="N50" s="73"/>
      <c r="O50" s="73"/>
      <c r="P50" s="73"/>
      <c r="Q50" s="73"/>
    </row>
    <row r="51" spans="13:17">
      <c r="M51" s="73"/>
      <c r="N51" s="73"/>
      <c r="O51" s="73"/>
      <c r="P51" s="73"/>
      <c r="Q51" s="73"/>
    </row>
    <row r="52" spans="13:17">
      <c r="M52" s="73"/>
      <c r="N52" s="73"/>
      <c r="O52" s="73"/>
      <c r="P52" s="73"/>
      <c r="Q52" s="73"/>
    </row>
    <row r="53" spans="13:17">
      <c r="M53" s="73"/>
      <c r="N53" s="73"/>
      <c r="O53" s="73"/>
      <c r="P53" s="73"/>
      <c r="Q53" s="73"/>
    </row>
    <row r="54" spans="13:17">
      <c r="M54" s="73"/>
      <c r="N54" s="73"/>
      <c r="O54" s="73"/>
      <c r="P54" s="73"/>
      <c r="Q54" s="73"/>
    </row>
    <row r="55" spans="13:17">
      <c r="M55" s="73"/>
      <c r="N55" s="73"/>
      <c r="O55" s="73"/>
      <c r="P55" s="73"/>
      <c r="Q55" s="73"/>
    </row>
    <row r="56" spans="13:17">
      <c r="M56" s="73"/>
      <c r="N56" s="73"/>
      <c r="O56" s="73"/>
      <c r="P56" s="73"/>
      <c r="Q56" s="73"/>
    </row>
  </sheetData>
  <autoFilter ref="A2:Q19" xr:uid="{92C53421-134F-4100-BEA7-A5CE96F1B6BF}"/>
  <mergeCells count="1">
    <mergeCell ref="M1:P1"/>
  </mergeCells>
  <phoneticPr fontId="23"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0DF02-1D01-499C-B76B-E20332CCB148}">
  <dimension ref="A1:Z17"/>
  <sheetViews>
    <sheetView tabSelected="1" zoomScaleNormal="100" workbookViewId="0">
      <selection activeCell="A5" sqref="A5:D5"/>
    </sheetView>
  </sheetViews>
  <sheetFormatPr defaultColWidth="9" defaultRowHeight="13.5"/>
  <cols>
    <col min="1" max="1" width="43.73046875" style="51" customWidth="1"/>
    <col min="2" max="2" width="20.46484375" style="51" hidden="1" customWidth="1"/>
    <col min="3" max="3" width="28" style="51" hidden="1" customWidth="1"/>
    <col min="4" max="4" width="31.59765625" style="51" customWidth="1"/>
    <col min="5" max="5" width="54.46484375" style="51" customWidth="1"/>
    <col min="6" max="6" width="47.46484375" style="51" customWidth="1"/>
    <col min="7" max="7" width="68.59765625" style="51" customWidth="1"/>
    <col min="8" max="8" width="23" style="51" customWidth="1"/>
    <col min="9" max="9" width="42.1328125" style="51" customWidth="1"/>
    <col min="10" max="26" width="9" style="51" bestFit="1" customWidth="1"/>
    <col min="27" max="27" width="9" style="53" bestFit="1"/>
    <col min="28" max="16384" width="9" style="53"/>
  </cols>
  <sheetData>
    <row r="1" spans="1:10" s="51" customFormat="1" ht="20.25">
      <c r="A1" s="383" t="s">
        <v>202</v>
      </c>
      <c r="B1" s="383"/>
      <c r="C1" s="383"/>
      <c r="D1" s="383"/>
      <c r="E1" s="383"/>
      <c r="F1" s="383"/>
      <c r="G1" s="383"/>
      <c r="H1" s="383"/>
      <c r="I1" s="383"/>
    </row>
    <row r="2" spans="1:10" s="51" customFormat="1">
      <c r="A2" s="384" t="s">
        <v>203</v>
      </c>
      <c r="B2" s="384"/>
      <c r="C2" s="384"/>
      <c r="D2" s="384"/>
      <c r="E2" s="384"/>
      <c r="F2" s="384"/>
      <c r="G2" s="384"/>
      <c r="H2" s="384"/>
      <c r="I2" s="384"/>
    </row>
    <row r="3" spans="1:10" s="51" customFormat="1" ht="121.5" customHeight="1">
      <c r="A3" s="54" t="s">
        <v>204</v>
      </c>
      <c r="B3" s="55"/>
      <c r="C3" s="55"/>
      <c r="D3" s="55"/>
      <c r="E3" s="56" t="s">
        <v>205</v>
      </c>
      <c r="F3" s="56" t="s">
        <v>206</v>
      </c>
      <c r="G3" s="56" t="s">
        <v>207</v>
      </c>
      <c r="H3" s="385" t="s">
        <v>208</v>
      </c>
      <c r="I3" s="386"/>
    </row>
    <row r="4" spans="1:10" s="51" customFormat="1">
      <c r="A4" s="387" t="s">
        <v>209</v>
      </c>
      <c r="B4" s="388"/>
      <c r="C4" s="388"/>
      <c r="D4" s="389"/>
      <c r="E4" s="57" t="s">
        <v>210</v>
      </c>
      <c r="F4" s="58" t="s">
        <v>211</v>
      </c>
      <c r="G4" s="58" t="s">
        <v>212</v>
      </c>
      <c r="H4" s="390" t="s">
        <v>213</v>
      </c>
      <c r="I4" s="391"/>
    </row>
    <row r="5" spans="1:10" s="51" customFormat="1" ht="141" customHeight="1">
      <c r="A5" s="467" t="s">
        <v>726</v>
      </c>
      <c r="B5" s="468"/>
      <c r="C5" s="468"/>
      <c r="D5" s="469"/>
      <c r="E5" s="277" t="s">
        <v>697</v>
      </c>
      <c r="F5" s="295" t="s">
        <v>718</v>
      </c>
      <c r="G5" s="277" t="s">
        <v>25</v>
      </c>
      <c r="H5" s="470" t="s">
        <v>719</v>
      </c>
      <c r="I5" s="471"/>
    </row>
    <row r="6" spans="1:10" s="51" customFormat="1">
      <c r="A6" s="464" t="s">
        <v>219</v>
      </c>
      <c r="B6" s="464"/>
      <c r="C6" s="464" t="s">
        <v>220</v>
      </c>
      <c r="D6" s="464"/>
      <c r="E6" s="464"/>
      <c r="F6" s="464"/>
      <c r="G6" s="464"/>
      <c r="H6" s="464" t="s">
        <v>221</v>
      </c>
      <c r="I6" s="464"/>
    </row>
    <row r="7" spans="1:10" s="52" customFormat="1" ht="198.75" customHeight="1">
      <c r="A7" s="296" t="s">
        <v>720</v>
      </c>
      <c r="B7" s="278"/>
      <c r="C7" s="472"/>
      <c r="D7" s="472"/>
      <c r="E7" s="472"/>
      <c r="F7" s="472"/>
      <c r="G7" s="472"/>
      <c r="H7" s="462" t="s">
        <v>721</v>
      </c>
      <c r="I7" s="463"/>
    </row>
    <row r="8" spans="1:10" s="51" customFormat="1">
      <c r="A8" s="379" t="s">
        <v>224</v>
      </c>
      <c r="B8" s="379"/>
      <c r="C8" s="61" t="s">
        <v>225</v>
      </c>
      <c r="D8" s="61" t="s">
        <v>225</v>
      </c>
      <c r="E8" s="379" t="s">
        <v>699</v>
      </c>
      <c r="F8" s="379"/>
      <c r="G8" s="62" t="s">
        <v>227</v>
      </c>
      <c r="H8" s="379" t="s">
        <v>698</v>
      </c>
      <c r="I8" s="379"/>
    </row>
    <row r="9" spans="1:10" s="51" customFormat="1" ht="32.25" customHeight="1">
      <c r="A9" s="374" t="s">
        <v>665</v>
      </c>
      <c r="B9" s="374"/>
      <c r="C9" s="374" t="s">
        <v>230</v>
      </c>
      <c r="D9" s="374" t="s">
        <v>722</v>
      </c>
      <c r="E9" s="374" t="s">
        <v>723</v>
      </c>
      <c r="F9" s="374"/>
      <c r="G9" s="459" t="s">
        <v>724</v>
      </c>
      <c r="H9" s="374" t="s">
        <v>700</v>
      </c>
      <c r="I9" s="374"/>
      <c r="J9" s="458"/>
    </row>
    <row r="10" spans="1:10" s="51" customFormat="1" ht="38.25" customHeight="1">
      <c r="A10" s="374"/>
      <c r="B10" s="374"/>
      <c r="C10" s="374"/>
      <c r="D10" s="374"/>
      <c r="E10" s="374"/>
      <c r="F10" s="374"/>
      <c r="G10" s="460"/>
      <c r="H10" s="374"/>
      <c r="I10" s="374"/>
      <c r="J10" s="458"/>
    </row>
    <row r="11" spans="1:10" s="51" customFormat="1" ht="65.099999999999994" customHeight="1">
      <c r="A11" s="63"/>
      <c r="E11" s="452" t="s">
        <v>783</v>
      </c>
      <c r="F11" s="453"/>
      <c r="G11" s="460"/>
    </row>
    <row r="12" spans="1:10" s="51" customFormat="1" ht="65.099999999999994" customHeight="1">
      <c r="E12" s="454"/>
      <c r="F12" s="455"/>
      <c r="G12" s="460"/>
    </row>
    <row r="13" spans="1:10" s="51" customFormat="1" ht="65.099999999999994" customHeight="1">
      <c r="E13" s="454"/>
      <c r="F13" s="455"/>
      <c r="G13" s="461"/>
      <c r="H13" s="64"/>
    </row>
    <row r="14" spans="1:10" s="51" customFormat="1" ht="65.099999999999994" customHeight="1">
      <c r="E14" s="454"/>
      <c r="F14" s="455"/>
      <c r="G14" s="459" t="s">
        <v>744</v>
      </c>
      <c r="H14" s="64"/>
    </row>
    <row r="15" spans="1:10" s="51" customFormat="1" ht="65.099999999999994" customHeight="1">
      <c r="E15" s="456"/>
      <c r="F15" s="457"/>
      <c r="G15" s="461"/>
      <c r="H15" s="65"/>
    </row>
    <row r="16" spans="1:10" s="51" customFormat="1" ht="98.25" customHeight="1">
      <c r="E16" s="465" t="s">
        <v>725</v>
      </c>
      <c r="F16" s="466"/>
      <c r="G16" s="280"/>
      <c r="H16" s="65"/>
    </row>
    <row r="17" spans="5:8" s="51" customFormat="1" ht="84" customHeight="1">
      <c r="E17" s="374" t="s">
        <v>745</v>
      </c>
      <c r="F17" s="374"/>
      <c r="G17" s="66"/>
      <c r="H17" s="67"/>
    </row>
  </sheetData>
  <mergeCells count="26">
    <mergeCell ref="E16:F16"/>
    <mergeCell ref="A1:I1"/>
    <mergeCell ref="A2:I2"/>
    <mergeCell ref="H3:I3"/>
    <mergeCell ref="A4:D4"/>
    <mergeCell ref="H4:I4"/>
    <mergeCell ref="A5:D5"/>
    <mergeCell ref="H5:I5"/>
    <mergeCell ref="H6:I6"/>
    <mergeCell ref="C7:G7"/>
    <mergeCell ref="H7:I7"/>
    <mergeCell ref="A8:B8"/>
    <mergeCell ref="E8:F8"/>
    <mergeCell ref="H8:I8"/>
    <mergeCell ref="A6:B6"/>
    <mergeCell ref="C6:G6"/>
    <mergeCell ref="E17:F17"/>
    <mergeCell ref="E11:F15"/>
    <mergeCell ref="C9:C10"/>
    <mergeCell ref="D9:D10"/>
    <mergeCell ref="J9:J10"/>
    <mergeCell ref="A9:B10"/>
    <mergeCell ref="E9:F10"/>
    <mergeCell ref="H9:I10"/>
    <mergeCell ref="G9:G13"/>
    <mergeCell ref="G14:G15"/>
  </mergeCells>
  <phoneticPr fontId="23" type="noConversion"/>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66D4-3245-47EF-8354-8256D92938F5}">
  <dimension ref="A1:AU36"/>
  <sheetViews>
    <sheetView topLeftCell="A8" zoomScaleNormal="100" workbookViewId="0">
      <pane ySplit="3" topLeftCell="A11" activePane="bottomLeft" state="frozen"/>
      <selection pane="bottomLeft" activeCell="I36" sqref="I36"/>
    </sheetView>
  </sheetViews>
  <sheetFormatPr defaultColWidth="7.86328125" defaultRowHeight="11.25"/>
  <cols>
    <col min="1" max="1" width="5.3984375" style="21" customWidth="1"/>
    <col min="2" max="2" width="10.265625" style="21" customWidth="1"/>
    <col min="3" max="3" width="7.3984375" style="21" customWidth="1"/>
    <col min="4" max="4" width="9.46484375" style="22" customWidth="1"/>
    <col min="5" max="5" width="9.46484375" style="21" customWidth="1"/>
    <col min="6" max="6" width="16" style="21" customWidth="1"/>
    <col min="7" max="7" width="19" style="21" customWidth="1"/>
    <col min="8" max="8" width="19.3984375" style="20" customWidth="1"/>
    <col min="9" max="9" width="19" style="23" customWidth="1"/>
    <col min="10" max="10" width="4.59765625" style="21" customWidth="1"/>
    <col min="11" max="11" width="13.73046875" style="21" customWidth="1"/>
    <col min="12" max="12" width="16" style="20" customWidth="1"/>
    <col min="13" max="13" width="20.73046875" style="21" customWidth="1"/>
    <col min="14" max="14" width="4.59765625" style="21" customWidth="1"/>
    <col min="15" max="15" width="15" style="21" customWidth="1"/>
    <col min="16" max="16" width="4.59765625" style="21" customWidth="1"/>
    <col min="17" max="17" width="4.59765625" style="24" customWidth="1"/>
    <col min="18" max="18" width="7.73046875" style="24" customWidth="1"/>
    <col min="19" max="19" width="10.73046875" style="24" customWidth="1"/>
    <col min="20" max="20" width="8.46484375" style="24" customWidth="1"/>
    <col min="21" max="21" width="9.1328125" style="24" customWidth="1"/>
    <col min="22" max="22" width="6.86328125" style="24" customWidth="1"/>
    <col min="23" max="23" width="7.86328125" style="24" customWidth="1"/>
    <col min="24" max="24" width="8.265625" style="24" customWidth="1"/>
    <col min="25" max="28" width="3" style="24" customWidth="1"/>
    <col min="29" max="29" width="7.86328125" style="24" customWidth="1"/>
    <col min="30" max="30" width="0.3984375" style="24" customWidth="1"/>
    <col min="31" max="47" width="7.86328125" style="25"/>
    <col min="48" max="16384" width="7.86328125" style="26"/>
  </cols>
  <sheetData>
    <row r="1" spans="1:47" ht="46.5" hidden="1" customHeight="1">
      <c r="A1" s="509" t="s">
        <v>259</v>
      </c>
      <c r="B1" s="509"/>
      <c r="C1" s="509"/>
      <c r="D1" s="509"/>
      <c r="E1" s="509"/>
      <c r="F1" s="509"/>
      <c r="G1" s="509"/>
      <c r="H1" s="510"/>
      <c r="I1" s="510"/>
      <c r="J1" s="509"/>
      <c r="K1" s="509"/>
      <c r="L1" s="511"/>
      <c r="M1" s="509"/>
      <c r="N1" s="509"/>
      <c r="O1" s="509"/>
      <c r="P1" s="509"/>
      <c r="Q1" s="509"/>
      <c r="R1" s="509"/>
      <c r="S1" s="509"/>
      <c r="T1" s="509"/>
      <c r="U1" s="509"/>
      <c r="V1" s="509"/>
      <c r="W1" s="509"/>
      <c r="X1" s="509"/>
      <c r="Y1" s="512"/>
      <c r="Z1" s="512"/>
      <c r="AA1" s="512"/>
      <c r="AB1" s="512"/>
      <c r="AC1" s="512"/>
      <c r="AD1" s="49"/>
      <c r="AE1" s="49"/>
      <c r="AF1" s="49"/>
      <c r="AG1" s="49"/>
      <c r="AH1" s="49"/>
      <c r="AI1" s="49"/>
      <c r="AJ1" s="49"/>
      <c r="AK1" s="49"/>
      <c r="AL1" s="49"/>
      <c r="AM1" s="49"/>
      <c r="AN1" s="49"/>
      <c r="AO1" s="49"/>
      <c r="AP1" s="49"/>
      <c r="AQ1" s="49"/>
      <c r="AR1" s="49"/>
      <c r="AS1" s="49"/>
    </row>
    <row r="2" spans="1:47" ht="18.75" hidden="1" customHeight="1">
      <c r="A2" s="513" t="s">
        <v>260</v>
      </c>
      <c r="B2" s="513"/>
      <c r="C2" s="513"/>
      <c r="D2" s="513"/>
      <c r="E2" s="513"/>
      <c r="F2" s="513"/>
      <c r="G2" s="513"/>
      <c r="H2" s="514"/>
    </row>
    <row r="3" spans="1:47" s="19" customFormat="1" ht="38.1" hidden="1" customHeight="1">
      <c r="A3" s="484" t="s">
        <v>261</v>
      </c>
      <c r="B3" s="484"/>
      <c r="C3" s="484"/>
      <c r="D3" s="508" t="s">
        <v>262</v>
      </c>
      <c r="E3" s="508"/>
      <c r="F3" s="508"/>
      <c r="G3" s="508"/>
      <c r="H3" s="488"/>
      <c r="I3" s="488" t="s">
        <v>263</v>
      </c>
      <c r="J3" s="484"/>
      <c r="K3" s="484"/>
      <c r="L3" s="500" t="s">
        <v>264</v>
      </c>
      <c r="M3" s="501"/>
      <c r="N3" s="501"/>
      <c r="O3" s="501"/>
      <c r="P3" s="501"/>
      <c r="Q3" s="501"/>
      <c r="R3" s="506" t="s">
        <v>265</v>
      </c>
      <c r="S3" s="506"/>
      <c r="T3" s="495" t="s">
        <v>262</v>
      </c>
      <c r="U3" s="496"/>
      <c r="V3" s="502"/>
      <c r="W3" s="506" t="s">
        <v>266</v>
      </c>
      <c r="X3" s="506"/>
      <c r="Y3" s="495" t="s">
        <v>267</v>
      </c>
      <c r="Z3" s="496"/>
      <c r="AA3" s="496"/>
      <c r="AB3" s="496"/>
      <c r="AC3" s="502"/>
      <c r="AD3" s="50"/>
      <c r="AE3" s="50"/>
      <c r="AF3" s="50"/>
      <c r="AG3" s="50"/>
      <c r="AH3" s="50"/>
      <c r="AI3" s="50"/>
      <c r="AJ3" s="50"/>
      <c r="AK3" s="50"/>
      <c r="AL3" s="50"/>
      <c r="AM3" s="50"/>
      <c r="AN3" s="50"/>
      <c r="AO3" s="50"/>
      <c r="AP3" s="50"/>
      <c r="AQ3" s="50"/>
      <c r="AR3" s="50"/>
      <c r="AS3" s="50"/>
      <c r="AT3" s="50"/>
      <c r="AU3" s="50"/>
    </row>
    <row r="4" spans="1:47" s="19" customFormat="1" ht="38.1" hidden="1" customHeight="1">
      <c r="A4" s="484" t="s">
        <v>268</v>
      </c>
      <c r="B4" s="484"/>
      <c r="C4" s="484"/>
      <c r="D4" s="508" t="s">
        <v>262</v>
      </c>
      <c r="E4" s="508"/>
      <c r="F4" s="508"/>
      <c r="G4" s="508"/>
      <c r="H4" s="488"/>
      <c r="I4" s="488" t="s">
        <v>269</v>
      </c>
      <c r="J4" s="484"/>
      <c r="K4" s="484"/>
      <c r="L4" s="500" t="s">
        <v>270</v>
      </c>
      <c r="M4" s="501"/>
      <c r="N4" s="501"/>
      <c r="O4" s="501"/>
      <c r="P4" s="501"/>
      <c r="Q4" s="501"/>
      <c r="R4" s="506" t="s">
        <v>271</v>
      </c>
      <c r="S4" s="506"/>
      <c r="T4" s="503"/>
      <c r="U4" s="504"/>
      <c r="V4" s="505"/>
      <c r="W4" s="506" t="s">
        <v>272</v>
      </c>
      <c r="X4" s="506"/>
      <c r="Y4" s="495" t="s">
        <v>273</v>
      </c>
      <c r="Z4" s="496"/>
      <c r="AA4" s="496"/>
      <c r="AB4" s="496"/>
      <c r="AC4" s="502"/>
      <c r="AD4" s="50"/>
      <c r="AE4" s="50"/>
      <c r="AF4" s="50"/>
      <c r="AG4" s="50"/>
      <c r="AH4" s="50"/>
      <c r="AI4" s="50"/>
      <c r="AJ4" s="50"/>
      <c r="AK4" s="50"/>
      <c r="AL4" s="50"/>
      <c r="AM4" s="50"/>
      <c r="AN4" s="50"/>
      <c r="AO4" s="50"/>
      <c r="AP4" s="50"/>
      <c r="AQ4" s="50"/>
      <c r="AR4" s="50"/>
      <c r="AS4" s="50"/>
      <c r="AT4" s="50"/>
      <c r="AU4" s="50"/>
    </row>
    <row r="5" spans="1:47" s="19" customFormat="1" ht="38.1" hidden="1" customHeight="1">
      <c r="A5" s="484" t="s">
        <v>274</v>
      </c>
      <c r="B5" s="484"/>
      <c r="C5" s="484"/>
      <c r="D5" s="501"/>
      <c r="E5" s="501"/>
      <c r="F5" s="501"/>
      <c r="G5" s="501"/>
      <c r="H5" s="507"/>
      <c r="I5" s="488" t="s">
        <v>275</v>
      </c>
      <c r="J5" s="484"/>
      <c r="K5" s="484"/>
      <c r="L5" s="484"/>
      <c r="M5" s="508"/>
      <c r="N5" s="508"/>
      <c r="O5" s="508"/>
      <c r="P5" s="508"/>
      <c r="Q5" s="508"/>
      <c r="R5" s="506" t="s">
        <v>276</v>
      </c>
      <c r="S5" s="506"/>
      <c r="T5" s="503" t="s">
        <v>277</v>
      </c>
      <c r="U5" s="504"/>
      <c r="V5" s="504"/>
      <c r="W5" s="504"/>
      <c r="X5" s="504"/>
      <c r="Y5" s="504"/>
      <c r="Z5" s="504"/>
      <c r="AA5" s="504"/>
      <c r="AB5" s="504"/>
      <c r="AC5" s="505"/>
      <c r="AD5" s="50"/>
      <c r="AE5" s="50"/>
      <c r="AF5" s="50"/>
      <c r="AG5" s="50"/>
      <c r="AH5" s="50"/>
      <c r="AI5" s="50"/>
      <c r="AJ5" s="50"/>
      <c r="AK5" s="50"/>
      <c r="AL5" s="50"/>
      <c r="AM5" s="50"/>
      <c r="AN5" s="50"/>
      <c r="AO5" s="50"/>
      <c r="AP5" s="50"/>
      <c r="AQ5" s="50"/>
      <c r="AR5" s="50"/>
      <c r="AS5" s="50"/>
      <c r="AT5" s="50"/>
      <c r="AU5" s="50"/>
    </row>
    <row r="6" spans="1:47" s="19" customFormat="1" ht="38.1" hidden="1" customHeight="1">
      <c r="A6" s="489" t="s">
        <v>278</v>
      </c>
      <c r="B6" s="497"/>
      <c r="C6" s="498"/>
      <c r="D6" s="485"/>
      <c r="E6" s="486"/>
      <c r="F6" s="486"/>
      <c r="G6" s="486"/>
      <c r="H6" s="487"/>
      <c r="I6" s="499" t="s">
        <v>279</v>
      </c>
      <c r="J6" s="497"/>
      <c r="K6" s="498"/>
      <c r="L6" s="500"/>
      <c r="M6" s="501"/>
      <c r="N6" s="501"/>
      <c r="O6" s="501"/>
      <c r="P6" s="501"/>
      <c r="Q6" s="501"/>
      <c r="R6" s="495" t="s">
        <v>280</v>
      </c>
      <c r="S6" s="502"/>
      <c r="T6" s="495" t="s">
        <v>281</v>
      </c>
      <c r="U6" s="496"/>
      <c r="V6" s="496"/>
      <c r="W6" s="496"/>
      <c r="X6" s="496"/>
      <c r="Y6" s="496"/>
      <c r="Z6" s="496"/>
      <c r="AA6" s="496"/>
      <c r="AB6" s="496"/>
      <c r="AC6" s="502"/>
      <c r="AD6" s="50"/>
      <c r="AE6" s="50"/>
      <c r="AF6" s="50"/>
      <c r="AG6" s="50"/>
      <c r="AH6" s="50"/>
      <c r="AI6" s="50"/>
      <c r="AJ6" s="50"/>
      <c r="AK6" s="50"/>
      <c r="AL6" s="50"/>
      <c r="AM6" s="50"/>
      <c r="AN6" s="50"/>
      <c r="AO6" s="50"/>
      <c r="AP6" s="50"/>
      <c r="AQ6" s="50"/>
      <c r="AR6" s="50"/>
      <c r="AS6" s="50"/>
      <c r="AT6" s="50"/>
      <c r="AU6" s="50"/>
    </row>
    <row r="7" spans="1:47" s="19" customFormat="1" ht="38.1" hidden="1" customHeight="1">
      <c r="A7" s="484" t="s">
        <v>282</v>
      </c>
      <c r="B7" s="484"/>
      <c r="C7" s="484"/>
      <c r="D7" s="485"/>
      <c r="E7" s="486"/>
      <c r="F7" s="486"/>
      <c r="G7" s="486"/>
      <c r="H7" s="487"/>
      <c r="I7" s="488" t="s">
        <v>283</v>
      </c>
      <c r="J7" s="484"/>
      <c r="K7" s="484"/>
      <c r="L7" s="489" t="s">
        <v>284</v>
      </c>
      <c r="M7" s="490"/>
      <c r="N7" s="490"/>
      <c r="O7" s="490"/>
      <c r="P7" s="490"/>
      <c r="Q7" s="490"/>
      <c r="R7" s="490"/>
      <c r="S7" s="490"/>
      <c r="T7" s="490"/>
      <c r="U7" s="490"/>
      <c r="V7" s="490"/>
      <c r="W7" s="490"/>
      <c r="X7" s="490"/>
      <c r="Y7" s="490"/>
      <c r="Z7" s="490"/>
      <c r="AA7" s="490"/>
      <c r="AB7" s="490"/>
      <c r="AC7" s="491"/>
      <c r="AD7" s="50"/>
      <c r="AE7" s="50"/>
      <c r="AF7" s="50"/>
      <c r="AG7" s="50"/>
      <c r="AH7" s="50"/>
      <c r="AI7" s="50"/>
      <c r="AJ7" s="50"/>
      <c r="AK7" s="50"/>
      <c r="AL7" s="50"/>
      <c r="AM7" s="50"/>
      <c r="AN7" s="50"/>
      <c r="AO7" s="50"/>
      <c r="AP7" s="50"/>
      <c r="AQ7" s="50"/>
      <c r="AR7" s="50"/>
      <c r="AS7" s="50"/>
      <c r="AT7" s="50"/>
      <c r="AU7" s="50"/>
    </row>
    <row r="8" spans="1:47" s="20" customFormat="1" ht="12.75" customHeight="1">
      <c r="A8" s="27"/>
      <c r="D8" s="28"/>
      <c r="I8" s="23"/>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row>
    <row r="9" spans="1:47" s="20" customFormat="1" ht="38.25" customHeight="1">
      <c r="A9" s="492" t="s">
        <v>285</v>
      </c>
      <c r="B9" s="492"/>
      <c r="C9" s="493" t="s">
        <v>286</v>
      </c>
      <c r="D9" s="493"/>
      <c r="E9" s="493"/>
      <c r="F9" s="493" t="s">
        <v>287</v>
      </c>
      <c r="G9" s="493"/>
      <c r="H9" s="494"/>
      <c r="I9" s="494" t="s">
        <v>288</v>
      </c>
      <c r="J9" s="493"/>
      <c r="K9" s="493"/>
      <c r="L9" s="493"/>
      <c r="M9" s="484" t="s">
        <v>289</v>
      </c>
      <c r="N9" s="484"/>
      <c r="O9" s="484"/>
      <c r="P9" s="484"/>
      <c r="Q9" s="484"/>
      <c r="R9" s="495" t="s">
        <v>290</v>
      </c>
      <c r="S9" s="496"/>
      <c r="T9" s="496"/>
      <c r="U9" s="496"/>
      <c r="V9" s="496"/>
      <c r="W9" s="496"/>
      <c r="X9" s="496"/>
      <c r="Y9" s="496"/>
      <c r="Z9" s="496"/>
      <c r="AA9" s="496"/>
      <c r="AB9" s="496"/>
      <c r="AC9" s="477" t="s">
        <v>291</v>
      </c>
      <c r="AD9" s="24"/>
      <c r="AE9" s="24"/>
      <c r="AF9" s="24"/>
      <c r="AG9" s="24"/>
      <c r="AH9" s="24"/>
      <c r="AI9" s="24"/>
      <c r="AJ9" s="24"/>
      <c r="AK9" s="24"/>
      <c r="AL9" s="24"/>
      <c r="AM9" s="24"/>
      <c r="AN9" s="24"/>
      <c r="AO9" s="24"/>
      <c r="AP9" s="24"/>
      <c r="AQ9" s="24"/>
      <c r="AR9" s="24"/>
      <c r="AS9" s="24"/>
      <c r="AT9" s="24"/>
      <c r="AU9" s="24"/>
    </row>
    <row r="10" spans="1:47" s="19" customFormat="1" ht="81" customHeight="1">
      <c r="A10" s="30" t="s">
        <v>292</v>
      </c>
      <c r="B10" s="31" t="s">
        <v>293</v>
      </c>
      <c r="C10" s="32" t="s">
        <v>294</v>
      </c>
      <c r="D10" s="33" t="s">
        <v>295</v>
      </c>
      <c r="E10" s="34" t="s">
        <v>296</v>
      </c>
      <c r="F10" s="35" t="s">
        <v>297</v>
      </c>
      <c r="G10" s="33" t="s">
        <v>298</v>
      </c>
      <c r="H10" s="34" t="s">
        <v>299</v>
      </c>
      <c r="I10" s="39" t="s">
        <v>300</v>
      </c>
      <c r="J10" s="40" t="s">
        <v>301</v>
      </c>
      <c r="K10" s="33" t="s">
        <v>540</v>
      </c>
      <c r="L10" s="29" t="s">
        <v>303</v>
      </c>
      <c r="M10" s="41" t="s">
        <v>304</v>
      </c>
      <c r="N10" s="282" t="s">
        <v>672</v>
      </c>
      <c r="O10" s="41" t="s">
        <v>306</v>
      </c>
      <c r="P10" s="288" t="s">
        <v>687</v>
      </c>
      <c r="Q10" s="44" t="s">
        <v>541</v>
      </c>
      <c r="R10" s="45" t="s">
        <v>309</v>
      </c>
      <c r="S10" s="45" t="s">
        <v>310</v>
      </c>
      <c r="T10" s="45" t="s">
        <v>311</v>
      </c>
      <c r="U10" s="45" t="s">
        <v>312</v>
      </c>
      <c r="V10" s="45" t="s">
        <v>313</v>
      </c>
      <c r="W10" s="45" t="s">
        <v>314</v>
      </c>
      <c r="X10" s="45" t="s">
        <v>315</v>
      </c>
      <c r="Y10" s="44" t="s">
        <v>316</v>
      </c>
      <c r="Z10" s="44" t="s">
        <v>317</v>
      </c>
      <c r="AA10" s="44" t="s">
        <v>318</v>
      </c>
      <c r="AB10" s="44" t="s">
        <v>319</v>
      </c>
      <c r="AC10" s="478"/>
      <c r="AD10" s="50"/>
      <c r="AE10" s="50"/>
      <c r="AF10" s="50"/>
      <c r="AG10" s="50"/>
      <c r="AH10" s="50"/>
      <c r="AI10" s="50"/>
      <c r="AJ10" s="50"/>
      <c r="AK10" s="50"/>
      <c r="AL10" s="50"/>
      <c r="AM10" s="50"/>
      <c r="AN10" s="50"/>
      <c r="AO10" s="50"/>
      <c r="AP10" s="50"/>
      <c r="AQ10" s="50"/>
      <c r="AR10" s="50"/>
      <c r="AS10" s="50"/>
      <c r="AT10" s="50"/>
      <c r="AU10" s="50"/>
    </row>
    <row r="11" spans="1:47" ht="96.75" customHeight="1">
      <c r="A11" s="36"/>
      <c r="B11" s="36"/>
      <c r="C11" s="474" t="s">
        <v>67</v>
      </c>
      <c r="D11" s="474" t="s">
        <v>347</v>
      </c>
      <c r="E11" s="474" t="s">
        <v>536</v>
      </c>
      <c r="F11" s="473" t="s">
        <v>727</v>
      </c>
      <c r="G11" s="480" t="s">
        <v>728</v>
      </c>
      <c r="H11" s="483" t="s">
        <v>734</v>
      </c>
      <c r="I11" s="473" t="s">
        <v>729</v>
      </c>
      <c r="J11" s="475">
        <v>8</v>
      </c>
      <c r="K11" s="476" t="s">
        <v>731</v>
      </c>
      <c r="L11" s="285" t="s">
        <v>673</v>
      </c>
      <c r="M11" s="286" t="s">
        <v>690</v>
      </c>
      <c r="N11" s="42" t="s">
        <v>76</v>
      </c>
      <c r="O11" s="37" t="s">
        <v>542</v>
      </c>
      <c r="P11" s="42" t="s">
        <v>543</v>
      </c>
      <c r="Q11" s="42" t="s">
        <v>78</v>
      </c>
      <c r="R11" s="46"/>
      <c r="S11" s="46" t="s">
        <v>262</v>
      </c>
      <c r="T11" s="46" t="s">
        <v>262</v>
      </c>
      <c r="U11" s="47"/>
      <c r="V11" s="46" t="s">
        <v>262</v>
      </c>
      <c r="W11" s="36" t="s">
        <v>262</v>
      </c>
      <c r="X11" s="47"/>
      <c r="Y11" s="46" t="s">
        <v>262</v>
      </c>
      <c r="Z11" s="46" t="s">
        <v>262</v>
      </c>
      <c r="AA11" s="46" t="s">
        <v>262</v>
      </c>
      <c r="AB11" s="46" t="s">
        <v>262</v>
      </c>
      <c r="AC11" s="36"/>
    </row>
    <row r="12" spans="1:47" ht="45">
      <c r="A12" s="36"/>
      <c r="B12" s="36"/>
      <c r="C12" s="474"/>
      <c r="D12" s="474"/>
      <c r="E12" s="474"/>
      <c r="F12" s="474"/>
      <c r="G12" s="481"/>
      <c r="H12" s="483"/>
      <c r="I12" s="474"/>
      <c r="J12" s="475"/>
      <c r="K12" s="476"/>
      <c r="L12" s="285" t="s">
        <v>673</v>
      </c>
      <c r="M12" s="297" t="s">
        <v>732</v>
      </c>
      <c r="N12" s="42" t="s">
        <v>76</v>
      </c>
      <c r="O12" s="37" t="s">
        <v>542</v>
      </c>
      <c r="P12" s="42" t="s">
        <v>543</v>
      </c>
      <c r="Q12" s="42" t="s">
        <v>78</v>
      </c>
      <c r="R12" s="46"/>
      <c r="S12" s="46"/>
      <c r="T12" s="46"/>
      <c r="U12" s="47"/>
      <c r="V12" s="46"/>
      <c r="W12" s="36"/>
      <c r="X12" s="47"/>
      <c r="Y12" s="46"/>
      <c r="Z12" s="46"/>
      <c r="AA12" s="46"/>
      <c r="AB12" s="46"/>
      <c r="AC12" s="36"/>
    </row>
    <row r="13" spans="1:47" ht="45">
      <c r="A13" s="36"/>
      <c r="B13" s="36"/>
      <c r="C13" s="474"/>
      <c r="D13" s="474"/>
      <c r="E13" s="474"/>
      <c r="F13" s="474"/>
      <c r="G13" s="481"/>
      <c r="H13" s="483"/>
      <c r="I13" s="474"/>
      <c r="J13" s="475"/>
      <c r="K13" s="476"/>
      <c r="L13" s="298" t="s">
        <v>701</v>
      </c>
      <c r="M13" s="298" t="s">
        <v>733</v>
      </c>
      <c r="N13" s="299">
        <v>2</v>
      </c>
      <c r="O13" s="298" t="s">
        <v>542</v>
      </c>
      <c r="P13" s="299">
        <v>4</v>
      </c>
      <c r="Q13" s="299" t="s">
        <v>78</v>
      </c>
      <c r="R13" s="46"/>
      <c r="S13" s="46"/>
      <c r="T13" s="46"/>
      <c r="U13" s="47"/>
      <c r="V13" s="46"/>
      <c r="W13" s="36"/>
      <c r="X13" s="47"/>
      <c r="Y13" s="46"/>
      <c r="Z13" s="46"/>
      <c r="AA13" s="46"/>
      <c r="AB13" s="46"/>
      <c r="AC13" s="36"/>
    </row>
    <row r="14" spans="1:47" ht="45">
      <c r="A14" s="36"/>
      <c r="B14" s="36"/>
      <c r="C14" s="474"/>
      <c r="D14" s="474"/>
      <c r="E14" s="474"/>
      <c r="F14" s="474"/>
      <c r="G14" s="481"/>
      <c r="H14" s="483"/>
      <c r="I14" s="474"/>
      <c r="J14" s="475"/>
      <c r="K14" s="476"/>
      <c r="L14" s="297" t="s">
        <v>735</v>
      </c>
      <c r="M14" s="297" t="s">
        <v>736</v>
      </c>
      <c r="N14" s="42">
        <v>2</v>
      </c>
      <c r="O14" s="286" t="s">
        <v>678</v>
      </c>
      <c r="P14" s="42">
        <v>4</v>
      </c>
      <c r="Q14" s="42" t="s">
        <v>78</v>
      </c>
      <c r="R14" s="46"/>
      <c r="S14" s="46"/>
      <c r="T14" s="46"/>
      <c r="U14" s="47"/>
      <c r="V14" s="46"/>
      <c r="W14" s="36"/>
      <c r="X14" s="47"/>
      <c r="Y14" s="46"/>
      <c r="Z14" s="46"/>
      <c r="AA14" s="46"/>
      <c r="AB14" s="46"/>
      <c r="AC14" s="36"/>
    </row>
    <row r="15" spans="1:47" ht="22.5">
      <c r="A15" s="36"/>
      <c r="B15" s="36"/>
      <c r="C15" s="474"/>
      <c r="D15" s="474"/>
      <c r="E15" s="474"/>
      <c r="F15" s="474"/>
      <c r="G15" s="481"/>
      <c r="H15" s="483"/>
      <c r="I15" s="474"/>
      <c r="J15" s="475"/>
      <c r="K15" s="476"/>
      <c r="L15" s="265" t="s">
        <v>654</v>
      </c>
      <c r="M15" s="279" t="s">
        <v>655</v>
      </c>
      <c r="N15" s="42">
        <v>2</v>
      </c>
      <c r="O15" s="37" t="s">
        <v>356</v>
      </c>
      <c r="P15" s="42">
        <v>2</v>
      </c>
      <c r="Q15" s="42" t="s">
        <v>78</v>
      </c>
      <c r="R15" s="46"/>
      <c r="S15" s="46"/>
      <c r="T15" s="46"/>
      <c r="U15" s="47"/>
      <c r="V15" s="46"/>
      <c r="W15" s="36"/>
      <c r="X15" s="47"/>
      <c r="Y15" s="46"/>
      <c r="Z15" s="46"/>
      <c r="AA15" s="46"/>
      <c r="AB15" s="46"/>
      <c r="AC15" s="36"/>
    </row>
    <row r="16" spans="1:47" ht="33.75">
      <c r="A16" s="36"/>
      <c r="B16" s="36"/>
      <c r="C16" s="474"/>
      <c r="D16" s="474"/>
      <c r="E16" s="474"/>
      <c r="F16" s="474"/>
      <c r="G16" s="481"/>
      <c r="H16" s="483"/>
      <c r="I16" s="474"/>
      <c r="J16" s="475"/>
      <c r="K16" s="476"/>
      <c r="L16" s="37" t="s">
        <v>544</v>
      </c>
      <c r="M16" s="297" t="s">
        <v>737</v>
      </c>
      <c r="N16" s="42">
        <v>2</v>
      </c>
      <c r="O16" s="37" t="s">
        <v>356</v>
      </c>
      <c r="P16" s="42">
        <v>2</v>
      </c>
      <c r="Q16" s="42" t="s">
        <v>78</v>
      </c>
      <c r="R16" s="46"/>
      <c r="S16" s="46"/>
      <c r="T16" s="46"/>
      <c r="U16" s="47"/>
      <c r="V16" s="46"/>
      <c r="W16" s="36"/>
      <c r="X16" s="47"/>
      <c r="Y16" s="46"/>
      <c r="Z16" s="46"/>
      <c r="AA16" s="46"/>
      <c r="AB16" s="46"/>
      <c r="AC16" s="36"/>
    </row>
    <row r="17" spans="1:47" ht="33.75">
      <c r="A17" s="36"/>
      <c r="B17" s="36"/>
      <c r="C17" s="474"/>
      <c r="D17" s="474"/>
      <c r="E17" s="474" t="s">
        <v>537</v>
      </c>
      <c r="F17" s="474"/>
      <c r="G17" s="481"/>
      <c r="H17" s="473" t="s">
        <v>730</v>
      </c>
      <c r="I17" s="474"/>
      <c r="J17" s="475"/>
      <c r="K17" s="476"/>
      <c r="L17" s="297" t="s">
        <v>738</v>
      </c>
      <c r="M17" s="279" t="s">
        <v>656</v>
      </c>
      <c r="N17" s="42">
        <v>2</v>
      </c>
      <c r="O17" s="37" t="s">
        <v>356</v>
      </c>
      <c r="P17" s="42">
        <v>2</v>
      </c>
      <c r="Q17" s="42" t="s">
        <v>78</v>
      </c>
      <c r="R17" s="46"/>
      <c r="S17" s="46"/>
      <c r="T17" s="46"/>
      <c r="U17" s="47"/>
      <c r="V17" s="46"/>
      <c r="W17" s="36"/>
      <c r="X17" s="47"/>
      <c r="Y17" s="46"/>
      <c r="Z17" s="46"/>
      <c r="AA17" s="46"/>
      <c r="AB17" s="46"/>
      <c r="AC17" s="36"/>
    </row>
    <row r="18" spans="1:47" ht="33.75">
      <c r="A18" s="36"/>
      <c r="B18" s="36"/>
      <c r="C18" s="474"/>
      <c r="D18" s="474"/>
      <c r="E18" s="474"/>
      <c r="F18" s="474"/>
      <c r="G18" s="481"/>
      <c r="H18" s="479"/>
      <c r="I18" s="474"/>
      <c r="J18" s="475"/>
      <c r="K18" s="476"/>
      <c r="L18" s="37" t="s">
        <v>545</v>
      </c>
      <c r="M18" s="297" t="s">
        <v>739</v>
      </c>
      <c r="N18" s="42">
        <v>2</v>
      </c>
      <c r="O18" s="37" t="s">
        <v>356</v>
      </c>
      <c r="P18" s="42">
        <v>2</v>
      </c>
      <c r="Q18" s="42" t="s">
        <v>78</v>
      </c>
      <c r="R18" s="46"/>
      <c r="S18" s="46"/>
      <c r="T18" s="46"/>
      <c r="U18" s="47"/>
      <c r="V18" s="46"/>
      <c r="W18" s="36"/>
      <c r="X18" s="47"/>
      <c r="Y18" s="46"/>
      <c r="Z18" s="46"/>
      <c r="AA18" s="46"/>
      <c r="AB18" s="46"/>
      <c r="AC18" s="36"/>
    </row>
    <row r="19" spans="1:47" ht="33.75">
      <c r="A19" s="36"/>
      <c r="B19" s="36"/>
      <c r="C19" s="474"/>
      <c r="D19" s="474"/>
      <c r="E19" s="474"/>
      <c r="F19" s="474"/>
      <c r="G19" s="481"/>
      <c r="H19" s="479"/>
      <c r="I19" s="474"/>
      <c r="J19" s="475"/>
      <c r="K19" s="476"/>
      <c r="L19" s="37" t="s">
        <v>546</v>
      </c>
      <c r="M19" s="279" t="s">
        <v>657</v>
      </c>
      <c r="N19" s="42">
        <v>2</v>
      </c>
      <c r="O19" s="37" t="s">
        <v>356</v>
      </c>
      <c r="P19" s="42">
        <v>2</v>
      </c>
      <c r="Q19" s="42" t="s">
        <v>78</v>
      </c>
      <c r="R19" s="46"/>
      <c r="S19" s="46"/>
      <c r="T19" s="46"/>
      <c r="U19" s="47"/>
      <c r="V19" s="46"/>
      <c r="W19" s="36"/>
      <c r="X19" s="47"/>
      <c r="Y19" s="46"/>
      <c r="Z19" s="46"/>
      <c r="AA19" s="46"/>
      <c r="AB19" s="46"/>
      <c r="AC19" s="36"/>
    </row>
    <row r="20" spans="1:47" ht="33.75">
      <c r="A20" s="36"/>
      <c r="B20" s="36"/>
      <c r="C20" s="474"/>
      <c r="D20" s="474"/>
      <c r="E20" s="474"/>
      <c r="F20" s="474"/>
      <c r="G20" s="481"/>
      <c r="H20" s="479"/>
      <c r="I20" s="474"/>
      <c r="J20" s="475"/>
      <c r="K20" s="476"/>
      <c r="L20" s="37" t="s">
        <v>547</v>
      </c>
      <c r="M20" s="279" t="s">
        <v>658</v>
      </c>
      <c r="N20" s="42">
        <v>2</v>
      </c>
      <c r="O20" s="286" t="s">
        <v>686</v>
      </c>
      <c r="P20" s="42">
        <v>3</v>
      </c>
      <c r="Q20" s="42" t="s">
        <v>78</v>
      </c>
      <c r="R20" s="46"/>
      <c r="S20" s="46"/>
      <c r="T20" s="46"/>
      <c r="U20" s="47"/>
      <c r="V20" s="46"/>
      <c r="W20" s="36"/>
      <c r="X20" s="47"/>
      <c r="Y20" s="46"/>
      <c r="Z20" s="46"/>
      <c r="AA20" s="46"/>
      <c r="AB20" s="46"/>
      <c r="AC20" s="36"/>
    </row>
    <row r="21" spans="1:47" ht="33.75">
      <c r="A21" s="36"/>
      <c r="B21" s="36"/>
      <c r="C21" s="474"/>
      <c r="D21" s="474"/>
      <c r="E21" s="474"/>
      <c r="F21" s="474"/>
      <c r="G21" s="481"/>
      <c r="H21" s="479"/>
      <c r="I21" s="474"/>
      <c r="J21" s="475"/>
      <c r="K21" s="476"/>
      <c r="L21" s="37" t="s">
        <v>548</v>
      </c>
      <c r="M21" s="297" t="s">
        <v>740</v>
      </c>
      <c r="N21" s="42">
        <v>2</v>
      </c>
      <c r="O21" s="37" t="s">
        <v>549</v>
      </c>
      <c r="P21" s="42">
        <v>3</v>
      </c>
      <c r="Q21" s="42" t="s">
        <v>78</v>
      </c>
      <c r="R21" s="46"/>
      <c r="S21" s="46"/>
      <c r="T21" s="46"/>
      <c r="U21" s="47"/>
      <c r="V21" s="46"/>
      <c r="W21" s="36"/>
      <c r="X21" s="47"/>
      <c r="Y21" s="46"/>
      <c r="Z21" s="46"/>
      <c r="AA21" s="46"/>
      <c r="AB21" s="46"/>
      <c r="AC21" s="36"/>
    </row>
    <row r="22" spans="1:47" ht="22.5">
      <c r="A22" s="36"/>
      <c r="B22" s="36"/>
      <c r="C22" s="474"/>
      <c r="D22" s="474"/>
      <c r="E22" s="474"/>
      <c r="F22" s="474"/>
      <c r="G22" s="481"/>
      <c r="H22" s="479"/>
      <c r="I22" s="474"/>
      <c r="J22" s="475"/>
      <c r="K22" s="476"/>
      <c r="L22" s="37" t="s">
        <v>550</v>
      </c>
      <c r="M22" s="297" t="s">
        <v>741</v>
      </c>
      <c r="N22" s="42">
        <v>2</v>
      </c>
      <c r="O22" s="37" t="s">
        <v>356</v>
      </c>
      <c r="P22" s="42">
        <v>2</v>
      </c>
      <c r="Q22" s="42" t="s">
        <v>78</v>
      </c>
      <c r="R22" s="46"/>
      <c r="S22" s="46"/>
      <c r="T22" s="46"/>
      <c r="U22" s="47"/>
      <c r="V22" s="46"/>
      <c r="W22" s="36"/>
      <c r="X22" s="47"/>
      <c r="Y22" s="46"/>
      <c r="Z22" s="46"/>
      <c r="AA22" s="46"/>
      <c r="AB22" s="46"/>
      <c r="AC22" s="36"/>
    </row>
    <row r="23" spans="1:47" ht="83.25" customHeight="1">
      <c r="A23" s="36"/>
      <c r="B23" s="36"/>
      <c r="C23" s="474"/>
      <c r="D23" s="474"/>
      <c r="E23" s="474" t="s">
        <v>539</v>
      </c>
      <c r="F23" s="474"/>
      <c r="G23" s="481"/>
      <c r="H23" s="474" t="s">
        <v>666</v>
      </c>
      <c r="I23" s="474"/>
      <c r="J23" s="475"/>
      <c r="K23" s="476"/>
      <c r="L23" s="37" t="s">
        <v>551</v>
      </c>
      <c r="M23" s="279" t="s">
        <v>552</v>
      </c>
      <c r="N23" s="42">
        <v>3</v>
      </c>
      <c r="O23" s="37" t="s">
        <v>553</v>
      </c>
      <c r="P23" s="42">
        <v>2</v>
      </c>
      <c r="Q23" s="42" t="s">
        <v>78</v>
      </c>
      <c r="R23" s="46"/>
      <c r="S23" s="46"/>
      <c r="T23" s="46"/>
      <c r="U23" s="47"/>
      <c r="V23" s="46"/>
      <c r="W23" s="36"/>
      <c r="X23" s="47"/>
      <c r="Y23" s="46"/>
      <c r="Z23" s="46"/>
      <c r="AA23" s="46"/>
      <c r="AB23" s="46"/>
      <c r="AC23" s="36"/>
    </row>
    <row r="24" spans="1:47" ht="95.25" customHeight="1">
      <c r="A24" s="36"/>
      <c r="B24" s="36"/>
      <c r="C24" s="474"/>
      <c r="D24" s="474"/>
      <c r="E24" s="474"/>
      <c r="F24" s="474"/>
      <c r="G24" s="481"/>
      <c r="H24" s="479"/>
      <c r="I24" s="474"/>
      <c r="J24" s="475"/>
      <c r="K24" s="476"/>
      <c r="L24" s="298" t="s">
        <v>554</v>
      </c>
      <c r="M24" s="298" t="s">
        <v>742</v>
      </c>
      <c r="N24" s="299">
        <v>3</v>
      </c>
      <c r="O24" s="298" t="s">
        <v>743</v>
      </c>
      <c r="P24" s="299">
        <v>4</v>
      </c>
      <c r="Q24" s="42" t="s">
        <v>78</v>
      </c>
      <c r="R24" s="46"/>
      <c r="S24" s="46"/>
      <c r="T24" s="46"/>
      <c r="U24" s="47"/>
      <c r="V24" s="46"/>
      <c r="W24" s="36"/>
      <c r="X24" s="47"/>
      <c r="Y24" s="46"/>
      <c r="Z24" s="46"/>
      <c r="AA24" s="46"/>
      <c r="AB24" s="46"/>
      <c r="AC24" s="36"/>
    </row>
    <row r="25" spans="1:47" ht="156.75" customHeight="1">
      <c r="A25" s="36"/>
      <c r="B25" s="36"/>
      <c r="C25" s="474"/>
      <c r="D25" s="474"/>
      <c r="E25" s="37" t="s">
        <v>536</v>
      </c>
      <c r="F25" s="474"/>
      <c r="G25" s="482"/>
      <c r="H25" s="298" t="s">
        <v>688</v>
      </c>
      <c r="I25" s="474"/>
      <c r="J25" s="475"/>
      <c r="K25" s="476"/>
      <c r="L25" s="298" t="s">
        <v>689</v>
      </c>
      <c r="M25" s="298" t="s">
        <v>555</v>
      </c>
      <c r="N25" s="299">
        <v>3</v>
      </c>
      <c r="O25" s="298" t="s">
        <v>356</v>
      </c>
      <c r="P25" s="299">
        <v>4</v>
      </c>
      <c r="Q25" s="42" t="s">
        <v>78</v>
      </c>
      <c r="R25" s="46"/>
      <c r="S25" s="46"/>
      <c r="T25" s="46"/>
      <c r="U25" s="47"/>
      <c r="V25" s="46"/>
      <c r="W25" s="36"/>
      <c r="X25" s="47"/>
      <c r="Y25" s="46"/>
      <c r="Z25" s="46"/>
      <c r="AA25" s="46"/>
      <c r="AB25" s="46"/>
      <c r="AC25" s="36"/>
    </row>
    <row r="26" spans="1:47" s="19" customFormat="1" ht="96.75" customHeight="1">
      <c r="A26" s="36"/>
      <c r="B26" s="36"/>
      <c r="C26" s="474"/>
      <c r="D26" s="474"/>
      <c r="E26" s="37" t="s">
        <v>537</v>
      </c>
      <c r="F26" s="300" t="s">
        <v>746</v>
      </c>
      <c r="G26" s="297" t="s">
        <v>747</v>
      </c>
      <c r="H26" s="297" t="s">
        <v>748</v>
      </c>
      <c r="I26" s="297" t="s">
        <v>749</v>
      </c>
      <c r="J26" s="42">
        <v>8</v>
      </c>
      <c r="K26" s="297" t="s">
        <v>750</v>
      </c>
      <c r="L26" s="297" t="s">
        <v>751</v>
      </c>
      <c r="M26" s="297" t="s">
        <v>752</v>
      </c>
      <c r="N26" s="42">
        <v>2</v>
      </c>
      <c r="O26" s="37" t="s">
        <v>556</v>
      </c>
      <c r="P26" s="42">
        <v>3</v>
      </c>
      <c r="Q26" s="42" t="s">
        <v>78</v>
      </c>
      <c r="R26" s="45"/>
      <c r="S26" s="45"/>
      <c r="T26" s="45"/>
      <c r="U26" s="45"/>
      <c r="V26" s="45"/>
      <c r="W26" s="45"/>
      <c r="X26" s="45"/>
      <c r="Y26" s="44"/>
      <c r="Z26" s="44"/>
      <c r="AA26" s="44"/>
      <c r="AB26" s="44"/>
      <c r="AC26" s="43"/>
      <c r="AD26" s="50"/>
      <c r="AE26" s="50"/>
      <c r="AF26" s="50"/>
      <c r="AG26" s="50"/>
      <c r="AH26" s="50"/>
      <c r="AI26" s="50"/>
      <c r="AJ26" s="50"/>
      <c r="AK26" s="50"/>
      <c r="AL26" s="50"/>
      <c r="AM26" s="50"/>
      <c r="AN26" s="50"/>
      <c r="AO26" s="50"/>
      <c r="AP26" s="50"/>
      <c r="AQ26" s="50"/>
      <c r="AR26" s="50"/>
      <c r="AS26" s="50"/>
      <c r="AT26" s="50"/>
      <c r="AU26" s="50"/>
    </row>
    <row r="27" spans="1:47" s="19" customFormat="1" ht="97.5" customHeight="1">
      <c r="A27" s="36"/>
      <c r="B27" s="36"/>
      <c r="C27" s="474"/>
      <c r="D27" s="474"/>
      <c r="E27" s="474" t="s">
        <v>536</v>
      </c>
      <c r="F27" s="473" t="s">
        <v>753</v>
      </c>
      <c r="G27" s="473" t="s">
        <v>754</v>
      </c>
      <c r="H27" s="473" t="s">
        <v>755</v>
      </c>
      <c r="I27" s="300" t="s">
        <v>756</v>
      </c>
      <c r="J27" s="475">
        <v>8</v>
      </c>
      <c r="K27" s="297" t="s">
        <v>758</v>
      </c>
      <c r="L27" s="297" t="s">
        <v>760</v>
      </c>
      <c r="M27" s="473" t="s">
        <v>762</v>
      </c>
      <c r="N27" s="42">
        <v>2</v>
      </c>
      <c r="O27" s="37" t="s">
        <v>356</v>
      </c>
      <c r="P27" s="42">
        <v>3</v>
      </c>
      <c r="Q27" s="42" t="s">
        <v>78</v>
      </c>
      <c r="R27" s="45"/>
      <c r="S27" s="45"/>
      <c r="T27" s="45"/>
      <c r="U27" s="45"/>
      <c r="V27" s="45"/>
      <c r="W27" s="45"/>
      <c r="X27" s="45"/>
      <c r="Y27" s="44"/>
      <c r="Z27" s="44"/>
      <c r="AA27" s="44"/>
      <c r="AB27" s="44"/>
      <c r="AC27" s="43"/>
      <c r="AD27" s="50"/>
      <c r="AE27" s="50"/>
      <c r="AF27" s="50"/>
      <c r="AG27" s="50"/>
      <c r="AH27" s="50"/>
      <c r="AI27" s="50"/>
      <c r="AJ27" s="50"/>
      <c r="AK27" s="50"/>
      <c r="AL27" s="50"/>
      <c r="AM27" s="50"/>
      <c r="AN27" s="50"/>
      <c r="AO27" s="50"/>
      <c r="AP27" s="50"/>
      <c r="AQ27" s="50"/>
      <c r="AR27" s="50"/>
      <c r="AS27" s="50"/>
      <c r="AT27" s="50"/>
      <c r="AU27" s="50"/>
    </row>
    <row r="28" spans="1:47" s="19" customFormat="1" ht="97.5" customHeight="1">
      <c r="A28" s="36"/>
      <c r="B28" s="36"/>
      <c r="C28" s="474"/>
      <c r="D28" s="474"/>
      <c r="E28" s="474"/>
      <c r="F28" s="474"/>
      <c r="G28" s="479"/>
      <c r="H28" s="479"/>
      <c r="I28" s="300" t="s">
        <v>757</v>
      </c>
      <c r="J28" s="475"/>
      <c r="K28" s="297" t="s">
        <v>759</v>
      </c>
      <c r="L28" s="297" t="s">
        <v>761</v>
      </c>
      <c r="M28" s="474"/>
      <c r="N28" s="42">
        <v>2</v>
      </c>
      <c r="O28" s="37" t="s">
        <v>356</v>
      </c>
      <c r="P28" s="42">
        <v>3</v>
      </c>
      <c r="Q28" s="42" t="s">
        <v>78</v>
      </c>
      <c r="R28" s="45"/>
      <c r="S28" s="45"/>
      <c r="T28" s="45"/>
      <c r="U28" s="45"/>
      <c r="V28" s="45"/>
      <c r="W28" s="45"/>
      <c r="X28" s="45"/>
      <c r="Y28" s="44"/>
      <c r="Z28" s="44"/>
      <c r="AA28" s="44"/>
      <c r="AB28" s="44"/>
      <c r="AC28" s="43"/>
      <c r="AD28" s="50"/>
      <c r="AE28" s="50"/>
      <c r="AF28" s="50"/>
      <c r="AG28" s="50"/>
      <c r="AH28" s="50"/>
      <c r="AI28" s="50"/>
      <c r="AJ28" s="50"/>
      <c r="AK28" s="50"/>
      <c r="AL28" s="50"/>
      <c r="AM28" s="50"/>
      <c r="AN28" s="50"/>
      <c r="AO28" s="50"/>
      <c r="AP28" s="50"/>
      <c r="AQ28" s="50"/>
      <c r="AR28" s="50"/>
      <c r="AS28" s="50"/>
      <c r="AT28" s="50"/>
      <c r="AU28" s="50"/>
    </row>
    <row r="29" spans="1:47" s="19" customFormat="1" ht="96.75" customHeight="1">
      <c r="A29" s="36"/>
      <c r="B29" s="36"/>
      <c r="C29" s="474"/>
      <c r="D29" s="474"/>
      <c r="E29" s="37" t="s">
        <v>557</v>
      </c>
      <c r="F29" s="37" t="s">
        <v>558</v>
      </c>
      <c r="G29" s="279" t="s">
        <v>661</v>
      </c>
      <c r="H29" s="279" t="s">
        <v>662</v>
      </c>
      <c r="I29" s="37" t="s">
        <v>559</v>
      </c>
      <c r="J29" s="42">
        <v>8</v>
      </c>
      <c r="K29" s="37" t="s">
        <v>560</v>
      </c>
      <c r="L29" s="37" t="s">
        <v>561</v>
      </c>
      <c r="M29" s="281" t="s">
        <v>671</v>
      </c>
      <c r="N29" s="42">
        <v>2</v>
      </c>
      <c r="O29" s="265" t="s">
        <v>653</v>
      </c>
      <c r="P29" s="42">
        <v>2</v>
      </c>
      <c r="Q29" s="42" t="s">
        <v>78</v>
      </c>
      <c r="R29" s="45"/>
      <c r="S29" s="45"/>
      <c r="T29" s="45"/>
      <c r="U29" s="45"/>
      <c r="V29" s="45"/>
      <c r="W29" s="45"/>
      <c r="X29" s="45"/>
      <c r="Y29" s="44"/>
      <c r="Z29" s="44"/>
      <c r="AA29" s="44"/>
      <c r="AB29" s="44"/>
      <c r="AC29" s="43"/>
      <c r="AD29" s="50"/>
      <c r="AE29" s="50"/>
      <c r="AF29" s="50"/>
      <c r="AG29" s="50"/>
      <c r="AH29" s="50"/>
      <c r="AI29" s="50"/>
      <c r="AJ29" s="50"/>
      <c r="AK29" s="50"/>
      <c r="AL29" s="50"/>
      <c r="AM29" s="50"/>
      <c r="AN29" s="50"/>
      <c r="AO29" s="50"/>
      <c r="AP29" s="50"/>
      <c r="AQ29" s="50"/>
      <c r="AR29" s="50"/>
      <c r="AS29" s="50"/>
      <c r="AT29" s="50"/>
      <c r="AU29" s="50"/>
    </row>
    <row r="30" spans="1:47" s="19" customFormat="1" ht="96.75" customHeight="1">
      <c r="A30" s="36"/>
      <c r="B30" s="36"/>
      <c r="C30" s="474"/>
      <c r="D30" s="474"/>
      <c r="E30" s="37" t="s">
        <v>557</v>
      </c>
      <c r="F30" s="37" t="s">
        <v>562</v>
      </c>
      <c r="G30" s="279" t="s">
        <v>663</v>
      </c>
      <c r="H30" s="279" t="s">
        <v>664</v>
      </c>
      <c r="I30" s="37" t="s">
        <v>563</v>
      </c>
      <c r="J30" s="42">
        <v>6</v>
      </c>
      <c r="K30" s="37" t="s">
        <v>564</v>
      </c>
      <c r="L30" s="37" t="s">
        <v>565</v>
      </c>
      <c r="M30" s="37" t="s">
        <v>659</v>
      </c>
      <c r="N30" s="42">
        <v>2</v>
      </c>
      <c r="O30" s="37" t="s">
        <v>566</v>
      </c>
      <c r="P30" s="42">
        <v>2</v>
      </c>
      <c r="Q30" s="42" t="s">
        <v>78</v>
      </c>
      <c r="R30" s="45"/>
      <c r="S30" s="45"/>
      <c r="T30" s="45"/>
      <c r="U30" s="45"/>
      <c r="V30" s="45"/>
      <c r="W30" s="45"/>
      <c r="X30" s="45"/>
      <c r="Y30" s="44"/>
      <c r="Z30" s="44"/>
      <c r="AA30" s="44"/>
      <c r="AB30" s="44"/>
      <c r="AC30" s="43"/>
      <c r="AD30" s="50"/>
      <c r="AE30" s="50"/>
      <c r="AF30" s="50"/>
      <c r="AG30" s="50"/>
      <c r="AH30" s="50"/>
      <c r="AI30" s="50"/>
      <c r="AJ30" s="50"/>
      <c r="AK30" s="50"/>
      <c r="AL30" s="50"/>
      <c r="AM30" s="50"/>
      <c r="AN30" s="50"/>
      <c r="AO30" s="50"/>
      <c r="AP30" s="50"/>
      <c r="AQ30" s="50"/>
      <c r="AR30" s="50"/>
      <c r="AS30" s="50"/>
      <c r="AT30" s="50"/>
      <c r="AU30" s="50"/>
    </row>
    <row r="31" spans="1:47" ht="183" customHeight="1">
      <c r="A31" s="38"/>
      <c r="B31" s="38"/>
      <c r="C31" s="474"/>
      <c r="D31" s="474"/>
      <c r="E31" s="265" t="s">
        <v>652</v>
      </c>
      <c r="F31" s="297" t="s">
        <v>763</v>
      </c>
      <c r="G31" s="297" t="s">
        <v>764</v>
      </c>
      <c r="H31" s="297" t="s">
        <v>765</v>
      </c>
      <c r="I31" s="297" t="s">
        <v>766</v>
      </c>
      <c r="J31" s="42">
        <v>8</v>
      </c>
      <c r="K31" s="297" t="s">
        <v>767</v>
      </c>
      <c r="L31" s="297" t="s">
        <v>767</v>
      </c>
      <c r="M31" s="37" t="s">
        <v>492</v>
      </c>
      <c r="N31" s="42">
        <v>3</v>
      </c>
      <c r="O31" s="37" t="s">
        <v>570</v>
      </c>
      <c r="P31" s="42">
        <v>2</v>
      </c>
      <c r="Q31" s="42" t="s">
        <v>78</v>
      </c>
      <c r="R31" s="48"/>
      <c r="S31" s="48"/>
      <c r="T31" s="48"/>
      <c r="U31" s="48"/>
      <c r="V31" s="48"/>
      <c r="W31" s="48"/>
      <c r="X31" s="48"/>
      <c r="Y31" s="48"/>
      <c r="Z31" s="48"/>
      <c r="AA31" s="48"/>
      <c r="AB31" s="48"/>
      <c r="AC31" s="48"/>
    </row>
    <row r="32" spans="1:47" ht="183" customHeight="1">
      <c r="A32" s="38"/>
      <c r="B32" s="38"/>
      <c r="C32" s="474"/>
      <c r="D32" s="474"/>
      <c r="E32" s="265" t="s">
        <v>652</v>
      </c>
      <c r="F32" s="286" t="s">
        <v>679</v>
      </c>
      <c r="G32" s="37" t="s">
        <v>667</v>
      </c>
      <c r="H32" s="37" t="s">
        <v>669</v>
      </c>
      <c r="I32" s="286" t="s">
        <v>683</v>
      </c>
      <c r="J32" s="42">
        <v>8</v>
      </c>
      <c r="K32" s="37" t="s">
        <v>668</v>
      </c>
      <c r="L32" s="37" t="s">
        <v>670</v>
      </c>
      <c r="M32" s="286" t="s">
        <v>685</v>
      </c>
      <c r="N32" s="42">
        <v>2</v>
      </c>
      <c r="O32" s="265" t="s">
        <v>653</v>
      </c>
      <c r="P32" s="42">
        <v>2</v>
      </c>
      <c r="Q32" s="42" t="s">
        <v>78</v>
      </c>
      <c r="R32" s="48"/>
      <c r="S32" s="48"/>
      <c r="T32" s="48"/>
      <c r="U32" s="48"/>
      <c r="V32" s="48"/>
      <c r="W32" s="48"/>
      <c r="X32" s="48"/>
      <c r="Y32" s="48"/>
      <c r="Z32" s="48"/>
      <c r="AA32" s="48"/>
      <c r="AB32" s="48"/>
      <c r="AC32" s="48"/>
    </row>
    <row r="33" spans="1:30" ht="183" customHeight="1">
      <c r="A33" s="38"/>
      <c r="B33" s="38"/>
      <c r="C33" s="474"/>
      <c r="D33" s="474"/>
      <c r="E33" s="286" t="s">
        <v>696</v>
      </c>
      <c r="F33" s="298" t="s">
        <v>680</v>
      </c>
      <c r="G33" s="298" t="s">
        <v>682</v>
      </c>
      <c r="H33" s="298" t="s">
        <v>768</v>
      </c>
      <c r="I33" s="298" t="s">
        <v>684</v>
      </c>
      <c r="J33" s="299">
        <v>8</v>
      </c>
      <c r="K33" s="298" t="s">
        <v>681</v>
      </c>
      <c r="L33" s="298" t="s">
        <v>769</v>
      </c>
      <c r="M33" s="298" t="s">
        <v>770</v>
      </c>
      <c r="N33" s="299">
        <v>2</v>
      </c>
      <c r="O33" s="298" t="s">
        <v>686</v>
      </c>
      <c r="P33" s="299">
        <v>4</v>
      </c>
      <c r="Q33" s="299" t="s">
        <v>78</v>
      </c>
      <c r="R33" s="301"/>
      <c r="S33" s="48"/>
      <c r="T33" s="48"/>
      <c r="U33" s="48"/>
      <c r="V33" s="48"/>
      <c r="W33" s="48"/>
      <c r="X33" s="48"/>
      <c r="Y33" s="48"/>
      <c r="Z33" s="48"/>
      <c r="AA33" s="48"/>
      <c r="AB33" s="48"/>
      <c r="AC33" s="48"/>
    </row>
    <row r="34" spans="1:30" s="268" customFormat="1" ht="146.25" customHeight="1">
      <c r="A34" s="266"/>
      <c r="B34" s="266"/>
      <c r="C34" s="474"/>
      <c r="D34" s="474"/>
      <c r="E34" s="474" t="s">
        <v>536</v>
      </c>
      <c r="F34" s="473" t="s">
        <v>771</v>
      </c>
      <c r="G34" s="297" t="s">
        <v>772</v>
      </c>
      <c r="H34" s="297" t="s">
        <v>773</v>
      </c>
      <c r="I34" s="286" t="s">
        <v>691</v>
      </c>
      <c r="J34" s="42">
        <v>5</v>
      </c>
      <c r="K34" s="297" t="s">
        <v>774</v>
      </c>
      <c r="L34" s="297" t="s">
        <v>775</v>
      </c>
      <c r="M34" s="286" t="s">
        <v>693</v>
      </c>
      <c r="N34" s="42">
        <v>4</v>
      </c>
      <c r="O34" s="37" t="s">
        <v>567</v>
      </c>
      <c r="P34" s="42">
        <v>2</v>
      </c>
      <c r="Q34" s="42" t="s">
        <v>78</v>
      </c>
      <c r="R34" s="264"/>
      <c r="S34" s="264"/>
      <c r="T34" s="264"/>
      <c r="U34" s="264"/>
      <c r="V34" s="264"/>
      <c r="W34" s="264"/>
      <c r="X34" s="264"/>
      <c r="Y34" s="267"/>
      <c r="Z34" s="267"/>
      <c r="AA34" s="267"/>
      <c r="AB34" s="267"/>
      <c r="AC34" s="263"/>
    </row>
    <row r="35" spans="1:30" s="268" customFormat="1" ht="146.25" customHeight="1">
      <c r="A35" s="266"/>
      <c r="B35" s="266"/>
      <c r="C35" s="474"/>
      <c r="D35" s="474"/>
      <c r="E35" s="474"/>
      <c r="F35" s="474"/>
      <c r="G35" s="298" t="s">
        <v>776</v>
      </c>
      <c r="H35" s="298" t="s">
        <v>777</v>
      </c>
      <c r="I35" s="298" t="s">
        <v>691</v>
      </c>
      <c r="J35" s="299">
        <v>5</v>
      </c>
      <c r="K35" s="298" t="s">
        <v>692</v>
      </c>
      <c r="L35" s="298" t="s">
        <v>694</v>
      </c>
      <c r="M35" s="298" t="s">
        <v>695</v>
      </c>
      <c r="N35" s="299">
        <v>4</v>
      </c>
      <c r="O35" s="298" t="s">
        <v>567</v>
      </c>
      <c r="P35" s="299">
        <v>2</v>
      </c>
      <c r="Q35" s="299" t="s">
        <v>78</v>
      </c>
      <c r="R35" s="284"/>
      <c r="S35" s="284"/>
      <c r="T35" s="284"/>
      <c r="U35" s="284"/>
      <c r="V35" s="284"/>
      <c r="W35" s="284"/>
      <c r="X35" s="284"/>
      <c r="Y35" s="267"/>
      <c r="Z35" s="267"/>
      <c r="AA35" s="267"/>
      <c r="AB35" s="267"/>
      <c r="AC35" s="283"/>
    </row>
    <row r="36" spans="1:30" s="270" customFormat="1" ht="141" customHeight="1">
      <c r="A36" s="269"/>
      <c r="B36" s="269"/>
      <c r="C36" s="474"/>
      <c r="D36" s="474"/>
      <c r="E36" s="474"/>
      <c r="F36" s="474"/>
      <c r="G36" s="297" t="s">
        <v>778</v>
      </c>
      <c r="H36" s="297" t="s">
        <v>779</v>
      </c>
      <c r="I36" s="42" t="s">
        <v>780</v>
      </c>
      <c r="J36" s="42">
        <v>5</v>
      </c>
      <c r="K36" s="37" t="s">
        <v>568</v>
      </c>
      <c r="L36" s="42" t="s">
        <v>781</v>
      </c>
      <c r="M36" s="297" t="s">
        <v>782</v>
      </c>
      <c r="N36" s="42">
        <v>2</v>
      </c>
      <c r="O36" s="37" t="s">
        <v>569</v>
      </c>
      <c r="P36" s="42">
        <v>2</v>
      </c>
      <c r="Q36" s="42" t="s">
        <v>78</v>
      </c>
      <c r="R36" s="269"/>
      <c r="S36" s="269"/>
      <c r="T36" s="269"/>
      <c r="U36" s="269"/>
      <c r="V36" s="269"/>
      <c r="W36" s="269"/>
      <c r="X36" s="269"/>
      <c r="Y36" s="269"/>
      <c r="Z36" s="269"/>
      <c r="AA36" s="269"/>
      <c r="AB36" s="269"/>
      <c r="AC36" s="269"/>
      <c r="AD36" s="20"/>
    </row>
  </sheetData>
  <mergeCells count="63">
    <mergeCell ref="D11:D36"/>
    <mergeCell ref="C11:C36"/>
    <mergeCell ref="E34:E36"/>
    <mergeCell ref="F34:F36"/>
    <mergeCell ref="A1:X1"/>
    <mergeCell ref="Y1:AC1"/>
    <mergeCell ref="A2:H2"/>
    <mergeCell ref="A3:C3"/>
    <mergeCell ref="D3:H3"/>
    <mergeCell ref="I3:K3"/>
    <mergeCell ref="L3:Q3"/>
    <mergeCell ref="R3:S3"/>
    <mergeCell ref="T3:V3"/>
    <mergeCell ref="W3:X3"/>
    <mergeCell ref="Y3:AC3"/>
    <mergeCell ref="A4:C4"/>
    <mergeCell ref="D4:H4"/>
    <mergeCell ref="I4:K4"/>
    <mergeCell ref="L4:Q4"/>
    <mergeCell ref="R4:S4"/>
    <mergeCell ref="T4:V4"/>
    <mergeCell ref="W4:X4"/>
    <mergeCell ref="Y4:AC4"/>
    <mergeCell ref="A5:C5"/>
    <mergeCell ref="D5:H5"/>
    <mergeCell ref="I5:K5"/>
    <mergeCell ref="L5:Q5"/>
    <mergeCell ref="R5:S5"/>
    <mergeCell ref="T5:AC5"/>
    <mergeCell ref="A6:C6"/>
    <mergeCell ref="D6:H6"/>
    <mergeCell ref="I6:K6"/>
    <mergeCell ref="L6:Q6"/>
    <mergeCell ref="R6:S6"/>
    <mergeCell ref="T6:AC6"/>
    <mergeCell ref="A7:C7"/>
    <mergeCell ref="D7:H7"/>
    <mergeCell ref="I7:K7"/>
    <mergeCell ref="L7:AC7"/>
    <mergeCell ref="A9:B9"/>
    <mergeCell ref="C9:E9"/>
    <mergeCell ref="F9:H9"/>
    <mergeCell ref="I9:L9"/>
    <mergeCell ref="M9:Q9"/>
    <mergeCell ref="R9:AB9"/>
    <mergeCell ref="E11:E16"/>
    <mergeCell ref="E17:E22"/>
    <mergeCell ref="E23:E24"/>
    <mergeCell ref="E27:E28"/>
    <mergeCell ref="F11:F25"/>
    <mergeCell ref="F27:F28"/>
    <mergeCell ref="G27:G28"/>
    <mergeCell ref="G11:G25"/>
    <mergeCell ref="H11:H16"/>
    <mergeCell ref="H17:H22"/>
    <mergeCell ref="H23:H24"/>
    <mergeCell ref="H27:H28"/>
    <mergeCell ref="I11:I25"/>
    <mergeCell ref="J11:J25"/>
    <mergeCell ref="J27:J28"/>
    <mergeCell ref="K11:K25"/>
    <mergeCell ref="M27:M28"/>
    <mergeCell ref="AC9:AC10"/>
  </mergeCells>
  <phoneticPr fontId="2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A6724-E29F-49BB-917E-6FF9E221E6FC}">
  <dimension ref="B1:D14"/>
  <sheetViews>
    <sheetView workbookViewId="0">
      <selection activeCell="D31" sqref="D31"/>
    </sheetView>
  </sheetViews>
  <sheetFormatPr defaultColWidth="8.86328125" defaultRowHeight="13.5"/>
  <cols>
    <col min="4" max="4" width="110.59765625" customWidth="1"/>
  </cols>
  <sheetData>
    <row r="1" spans="2:4">
      <c r="B1" s="16"/>
      <c r="C1" s="16"/>
      <c r="D1" s="16"/>
    </row>
    <row r="2" spans="2:4" ht="22.9">
      <c r="B2" s="515" t="s">
        <v>571</v>
      </c>
      <c r="C2" s="516"/>
      <c r="D2" s="517"/>
    </row>
    <row r="3" spans="2:4" ht="22.9">
      <c r="B3" s="515" t="s">
        <v>572</v>
      </c>
      <c r="C3" s="516"/>
      <c r="D3" s="517"/>
    </row>
    <row r="4" spans="2:4" ht="22.9">
      <c r="B4" s="17" t="s">
        <v>183</v>
      </c>
      <c r="C4" s="18" t="s">
        <v>573</v>
      </c>
      <c r="D4" s="18" t="s">
        <v>574</v>
      </c>
    </row>
    <row r="5" spans="2:4" ht="45.75">
      <c r="B5" s="17">
        <v>10</v>
      </c>
      <c r="C5" s="518" t="s">
        <v>575</v>
      </c>
      <c r="D5" s="18" t="s">
        <v>576</v>
      </c>
    </row>
    <row r="6" spans="2:4" ht="22.9">
      <c r="B6" s="17">
        <v>9</v>
      </c>
      <c r="C6" s="519"/>
      <c r="D6" s="18" t="s">
        <v>577</v>
      </c>
    </row>
    <row r="7" spans="2:4" ht="22.9">
      <c r="B7" s="17">
        <v>8</v>
      </c>
      <c r="C7" s="518" t="s">
        <v>578</v>
      </c>
      <c r="D7" s="18" t="s">
        <v>579</v>
      </c>
    </row>
    <row r="8" spans="2:4" ht="22.9">
      <c r="B8" s="17">
        <v>7</v>
      </c>
      <c r="C8" s="519"/>
      <c r="D8" s="18" t="s">
        <v>580</v>
      </c>
    </row>
    <row r="9" spans="2:4" ht="22.9">
      <c r="B9" s="17">
        <v>6</v>
      </c>
      <c r="C9" s="518" t="s">
        <v>581</v>
      </c>
      <c r="D9" s="18" t="s">
        <v>582</v>
      </c>
    </row>
    <row r="10" spans="2:4" ht="22.9">
      <c r="B10" s="17">
        <v>5</v>
      </c>
      <c r="C10" s="520"/>
      <c r="D10" s="18" t="s">
        <v>583</v>
      </c>
    </row>
    <row r="11" spans="2:4" ht="22.9">
      <c r="B11" s="17">
        <v>4</v>
      </c>
      <c r="C11" s="519"/>
      <c r="D11" s="18" t="s">
        <v>584</v>
      </c>
    </row>
    <row r="12" spans="2:4" ht="22.9">
      <c r="B12" s="17">
        <v>3</v>
      </c>
      <c r="C12" s="518" t="s">
        <v>585</v>
      </c>
      <c r="D12" s="18" t="s">
        <v>586</v>
      </c>
    </row>
    <row r="13" spans="2:4" ht="22.9">
      <c r="B13" s="17">
        <v>2</v>
      </c>
      <c r="C13" s="519"/>
      <c r="D13" s="18" t="s">
        <v>587</v>
      </c>
    </row>
    <row r="14" spans="2:4" ht="45.75">
      <c r="B14" s="17">
        <v>1</v>
      </c>
      <c r="C14" s="18" t="s">
        <v>588</v>
      </c>
      <c r="D14" s="18" t="s">
        <v>589</v>
      </c>
    </row>
  </sheetData>
  <mergeCells count="6">
    <mergeCell ref="B2:D2"/>
    <mergeCell ref="B3:D3"/>
    <mergeCell ref="C5:C6"/>
    <mergeCell ref="C7:C8"/>
    <mergeCell ref="C9:C11"/>
    <mergeCell ref="C12:C13"/>
  </mergeCells>
  <phoneticPr fontId="2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7CB1E-D3AB-4EF0-90EF-A25ECC000E63}">
  <dimension ref="A1:E25"/>
  <sheetViews>
    <sheetView zoomScale="85" workbookViewId="0">
      <selection activeCell="D26" sqref="D26"/>
    </sheetView>
  </sheetViews>
  <sheetFormatPr defaultColWidth="8.86328125" defaultRowHeight="13.5"/>
  <cols>
    <col min="3" max="3" width="27.1328125" customWidth="1"/>
    <col min="4" max="4" width="143.1328125" customWidth="1"/>
    <col min="5" max="5" width="37.86328125" customWidth="1"/>
  </cols>
  <sheetData>
    <row r="1" spans="1:5" ht="19.149999999999999">
      <c r="A1" s="2"/>
      <c r="B1" s="2"/>
      <c r="C1" s="2"/>
      <c r="D1" s="2"/>
      <c r="E1" s="11"/>
    </row>
    <row r="2" spans="1:5" ht="19.149999999999999">
      <c r="A2" s="2"/>
      <c r="B2" s="528" t="s">
        <v>590</v>
      </c>
      <c r="C2" s="529"/>
      <c r="D2" s="530"/>
      <c r="E2" s="523" t="s">
        <v>591</v>
      </c>
    </row>
    <row r="3" spans="1:5" ht="19.149999999999999">
      <c r="A3" s="2"/>
      <c r="B3" s="12" t="s">
        <v>592</v>
      </c>
      <c r="C3" s="6" t="s">
        <v>593</v>
      </c>
      <c r="D3" s="6" t="s">
        <v>594</v>
      </c>
      <c r="E3" s="524"/>
    </row>
    <row r="4" spans="1:5" ht="38.25">
      <c r="A4" s="2"/>
      <c r="B4" s="523">
        <v>10</v>
      </c>
      <c r="C4" s="525" t="s">
        <v>595</v>
      </c>
      <c r="D4" s="13" t="s">
        <v>596</v>
      </c>
      <c r="E4" s="522" t="s">
        <v>597</v>
      </c>
    </row>
    <row r="5" spans="1:5" ht="19.149999999999999">
      <c r="A5" s="2"/>
      <c r="B5" s="524"/>
      <c r="C5" s="526"/>
      <c r="D5" s="14" t="s">
        <v>598</v>
      </c>
      <c r="E5" s="522"/>
    </row>
    <row r="6" spans="1:5" ht="19.149999999999999">
      <c r="A6" s="2"/>
      <c r="B6" s="523">
        <v>9</v>
      </c>
      <c r="C6" s="525" t="s">
        <v>575</v>
      </c>
      <c r="D6" s="14" t="s">
        <v>599</v>
      </c>
      <c r="E6" s="521" t="s">
        <v>600</v>
      </c>
    </row>
    <row r="7" spans="1:5" ht="19.149999999999999">
      <c r="A7" s="2"/>
      <c r="B7" s="524"/>
      <c r="C7" s="527"/>
      <c r="D7" s="6" t="s">
        <v>601</v>
      </c>
      <c r="E7" s="521"/>
    </row>
    <row r="8" spans="1:5" ht="38.25">
      <c r="A8" s="2"/>
      <c r="B8" s="523">
        <v>8</v>
      </c>
      <c r="C8" s="527"/>
      <c r="D8" s="13" t="s">
        <v>602</v>
      </c>
      <c r="E8" s="521" t="s">
        <v>603</v>
      </c>
    </row>
    <row r="9" spans="1:5" ht="19.149999999999999">
      <c r="A9" s="2"/>
      <c r="B9" s="524"/>
      <c r="C9" s="526"/>
      <c r="D9" s="14" t="s">
        <v>604</v>
      </c>
      <c r="E9" s="521"/>
    </row>
    <row r="10" spans="1:5" ht="19.149999999999999">
      <c r="A10" s="2"/>
      <c r="B10" s="523">
        <v>7</v>
      </c>
      <c r="C10" s="525" t="s">
        <v>578</v>
      </c>
      <c r="D10" s="14" t="s">
        <v>605</v>
      </c>
      <c r="E10" s="521" t="s">
        <v>606</v>
      </c>
    </row>
    <row r="11" spans="1:5" ht="19.149999999999999">
      <c r="A11" s="2"/>
      <c r="B11" s="524"/>
      <c r="C11" s="527"/>
      <c r="D11" s="6" t="s">
        <v>607</v>
      </c>
      <c r="E11" s="521"/>
    </row>
    <row r="12" spans="1:5" ht="19.149999999999999">
      <c r="A12" s="2"/>
      <c r="B12" s="523">
        <v>6</v>
      </c>
      <c r="C12" s="527"/>
      <c r="D12" s="13" t="s">
        <v>608</v>
      </c>
      <c r="E12" s="521" t="s">
        <v>609</v>
      </c>
    </row>
    <row r="13" spans="1:5" ht="19.149999999999999">
      <c r="A13" s="2"/>
      <c r="B13" s="524"/>
      <c r="C13" s="526"/>
      <c r="D13" s="14" t="s">
        <v>610</v>
      </c>
      <c r="E13" s="521"/>
    </row>
    <row r="14" spans="1:5" ht="38.25">
      <c r="A14" s="2"/>
      <c r="B14" s="523">
        <v>5</v>
      </c>
      <c r="C14" s="525" t="s">
        <v>581</v>
      </c>
      <c r="D14" s="13" t="s">
        <v>611</v>
      </c>
      <c r="E14" s="521" t="s">
        <v>612</v>
      </c>
    </row>
    <row r="15" spans="1:5" ht="38.25">
      <c r="A15" s="2"/>
      <c r="B15" s="524"/>
      <c r="C15" s="527"/>
      <c r="D15" s="14" t="s">
        <v>613</v>
      </c>
      <c r="E15" s="521"/>
    </row>
    <row r="16" spans="1:5" ht="38.25">
      <c r="A16" s="2"/>
      <c r="B16" s="523">
        <v>4</v>
      </c>
      <c r="C16" s="527"/>
      <c r="D16" s="14" t="s">
        <v>614</v>
      </c>
      <c r="E16" s="521" t="s">
        <v>615</v>
      </c>
    </row>
    <row r="17" spans="1:5" ht="19.149999999999999">
      <c r="A17" s="2"/>
      <c r="B17" s="524"/>
      <c r="C17" s="526"/>
      <c r="D17" s="14" t="s">
        <v>616</v>
      </c>
      <c r="E17" s="521"/>
    </row>
    <row r="18" spans="1:5" ht="38.25">
      <c r="A18" s="2"/>
      <c r="B18" s="523">
        <v>3</v>
      </c>
      <c r="C18" s="525" t="s">
        <v>585</v>
      </c>
      <c r="D18" s="13" t="s">
        <v>617</v>
      </c>
      <c r="E18" s="522" t="s">
        <v>618</v>
      </c>
    </row>
    <row r="19" spans="1:5" ht="38.25">
      <c r="A19" s="2"/>
      <c r="B19" s="524"/>
      <c r="C19" s="526"/>
      <c r="D19" s="14" t="s">
        <v>619</v>
      </c>
      <c r="E19" s="522"/>
    </row>
    <row r="20" spans="1:5" ht="19.149999999999999">
      <c r="A20" s="2"/>
      <c r="B20" s="523">
        <v>2</v>
      </c>
      <c r="C20" s="525" t="s">
        <v>588</v>
      </c>
      <c r="D20" s="13" t="s">
        <v>620</v>
      </c>
      <c r="E20" s="522" t="s">
        <v>621</v>
      </c>
    </row>
    <row r="21" spans="1:5" ht="38.25">
      <c r="A21" s="2"/>
      <c r="B21" s="524"/>
      <c r="C21" s="526"/>
      <c r="D21" s="14" t="s">
        <v>622</v>
      </c>
      <c r="E21" s="522"/>
    </row>
    <row r="22" spans="1:5" ht="19.149999999999999">
      <c r="A22" s="2"/>
      <c r="B22" s="8">
        <v>1</v>
      </c>
      <c r="C22" s="13" t="s">
        <v>623</v>
      </c>
      <c r="D22" s="13" t="s">
        <v>624</v>
      </c>
      <c r="E22" s="15" t="s">
        <v>625</v>
      </c>
    </row>
    <row r="23" spans="1:5" ht="19.149999999999999">
      <c r="A23" s="2"/>
      <c r="B23" s="531" t="s">
        <v>626</v>
      </c>
      <c r="C23" s="532"/>
      <c r="D23" s="532"/>
      <c r="E23" s="533"/>
    </row>
    <row r="24" spans="1:5" ht="19.149999999999999">
      <c r="A24" s="2"/>
      <c r="B24" s="531" t="s">
        <v>627</v>
      </c>
      <c r="C24" s="532"/>
      <c r="D24" s="532"/>
      <c r="E24" s="533"/>
    </row>
    <row r="25" spans="1:5" ht="19.149999999999999">
      <c r="A25" s="2"/>
      <c r="B25" s="531" t="s">
        <v>628</v>
      </c>
      <c r="C25" s="532"/>
      <c r="D25" s="532"/>
      <c r="E25" s="533"/>
    </row>
  </sheetData>
  <mergeCells count="29">
    <mergeCell ref="B2:D2"/>
    <mergeCell ref="B23:E23"/>
    <mergeCell ref="B24:E24"/>
    <mergeCell ref="B25:E25"/>
    <mergeCell ref="B4:B5"/>
    <mergeCell ref="B6:B7"/>
    <mergeCell ref="B8:B9"/>
    <mergeCell ref="B10:B11"/>
    <mergeCell ref="B12:B13"/>
    <mergeCell ref="B14:B15"/>
    <mergeCell ref="B16:B17"/>
    <mergeCell ref="B18:B19"/>
    <mergeCell ref="B20:B21"/>
    <mergeCell ref="C4:C5"/>
    <mergeCell ref="C6:C9"/>
    <mergeCell ref="C10:C13"/>
    <mergeCell ref="C14:C17"/>
    <mergeCell ref="C18:C19"/>
    <mergeCell ref="C20:C21"/>
    <mergeCell ref="E14:E15"/>
    <mergeCell ref="E16:E17"/>
    <mergeCell ref="E18:E19"/>
    <mergeCell ref="E20:E21"/>
    <mergeCell ref="E2:E3"/>
    <mergeCell ref="E4:E5"/>
    <mergeCell ref="E6:E7"/>
    <mergeCell ref="E8:E9"/>
    <mergeCell ref="E10:E11"/>
    <mergeCell ref="E12:E13"/>
  </mergeCells>
  <phoneticPr fontId="2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5D71-02B0-4527-8C93-2EA52123FC75}">
  <dimension ref="A1:E20"/>
  <sheetViews>
    <sheetView workbookViewId="0">
      <selection activeCell="D28" sqref="D28"/>
    </sheetView>
  </sheetViews>
  <sheetFormatPr defaultColWidth="8.86328125" defaultRowHeight="13.5"/>
  <cols>
    <col min="2" max="2" width="4.59765625" style="1" customWidth="1"/>
    <col min="3" max="3" width="10.59765625" style="1" customWidth="1"/>
    <col min="4" max="4" width="72.59765625" customWidth="1"/>
    <col min="5" max="5" width="44.59765625" customWidth="1"/>
  </cols>
  <sheetData>
    <row r="1" spans="1:5">
      <c r="A1" s="2"/>
      <c r="B1" s="3"/>
      <c r="C1" s="3"/>
      <c r="D1" s="2"/>
      <c r="E1" s="2"/>
    </row>
    <row r="2" spans="1:5" ht="19.149999999999999">
      <c r="A2" s="2"/>
      <c r="B2" s="528" t="s">
        <v>629</v>
      </c>
      <c r="C2" s="529"/>
      <c r="D2" s="529"/>
      <c r="E2" s="530"/>
    </row>
    <row r="3" spans="1:5" ht="19.149999999999999">
      <c r="A3" s="2"/>
      <c r="B3" s="543" t="s">
        <v>630</v>
      </c>
      <c r="C3" s="544"/>
      <c r="D3" s="544"/>
      <c r="E3" s="545"/>
    </row>
    <row r="4" spans="1:5" ht="38.25">
      <c r="A4" s="2"/>
      <c r="B4" s="4" t="s">
        <v>631</v>
      </c>
      <c r="C4" s="5" t="s">
        <v>632</v>
      </c>
      <c r="D4" s="6" t="s">
        <v>633</v>
      </c>
      <c r="E4" s="6" t="s">
        <v>634</v>
      </c>
    </row>
    <row r="5" spans="1:5" ht="19.149999999999999">
      <c r="A5" s="2"/>
      <c r="B5" s="4">
        <v>10</v>
      </c>
      <c r="C5" s="523" t="s">
        <v>588</v>
      </c>
      <c r="D5" s="6" t="s">
        <v>635</v>
      </c>
      <c r="E5" s="7" t="s">
        <v>636</v>
      </c>
    </row>
    <row r="6" spans="1:5" ht="19.149999999999999">
      <c r="A6" s="2"/>
      <c r="B6" s="4">
        <v>9</v>
      </c>
      <c r="C6" s="524"/>
      <c r="D6" s="6" t="s">
        <v>637</v>
      </c>
      <c r="E6" s="7" t="s">
        <v>638</v>
      </c>
    </row>
    <row r="7" spans="1:5" ht="19.149999999999999">
      <c r="A7" s="2"/>
      <c r="B7" s="4">
        <v>8</v>
      </c>
      <c r="C7" s="523" t="s">
        <v>585</v>
      </c>
      <c r="D7" s="6" t="s">
        <v>639</v>
      </c>
      <c r="E7" s="7" t="s">
        <v>638</v>
      </c>
    </row>
    <row r="8" spans="1:5" ht="19.149999999999999">
      <c r="A8" s="2"/>
      <c r="B8" s="4">
        <v>7</v>
      </c>
      <c r="C8" s="524"/>
      <c r="D8" s="525" t="s">
        <v>640</v>
      </c>
      <c r="E8" s="7" t="s">
        <v>641</v>
      </c>
    </row>
    <row r="9" spans="1:5" ht="19.149999999999999">
      <c r="A9" s="2"/>
      <c r="B9" s="4">
        <v>6</v>
      </c>
      <c r="C9" s="523" t="s">
        <v>581</v>
      </c>
      <c r="D9" s="527"/>
      <c r="E9" s="7" t="s">
        <v>642</v>
      </c>
    </row>
    <row r="10" spans="1:5" ht="19.149999999999999">
      <c r="A10" s="2"/>
      <c r="B10" s="4">
        <v>5</v>
      </c>
      <c r="C10" s="524"/>
      <c r="D10" s="526"/>
      <c r="E10" s="7" t="s">
        <v>643</v>
      </c>
    </row>
    <row r="11" spans="1:5" ht="19.149999999999999">
      <c r="A11" s="2"/>
      <c r="B11" s="4">
        <v>4</v>
      </c>
      <c r="C11" s="523" t="s">
        <v>578</v>
      </c>
      <c r="D11" s="525" t="s">
        <v>644</v>
      </c>
      <c r="E11" s="7" t="s">
        <v>641</v>
      </c>
    </row>
    <row r="12" spans="1:5" ht="19.149999999999999">
      <c r="A12" s="2"/>
      <c r="B12" s="4">
        <v>3</v>
      </c>
      <c r="C12" s="547"/>
      <c r="D12" s="527"/>
      <c r="E12" s="7" t="s">
        <v>642</v>
      </c>
    </row>
    <row r="13" spans="1:5" ht="19.149999999999999">
      <c r="A13" s="2"/>
      <c r="B13" s="4">
        <v>2</v>
      </c>
      <c r="C13" s="524"/>
      <c r="D13" s="526"/>
      <c r="E13" s="7" t="s">
        <v>643</v>
      </c>
    </row>
    <row r="14" spans="1:5" ht="19.149999999999999">
      <c r="A14" s="2"/>
      <c r="B14" s="4">
        <v>1</v>
      </c>
      <c r="C14" s="5" t="s">
        <v>575</v>
      </c>
      <c r="D14" s="543" t="s">
        <v>645</v>
      </c>
      <c r="E14" s="546"/>
    </row>
    <row r="15" spans="1:5">
      <c r="A15" s="2"/>
      <c r="B15" s="3"/>
      <c r="C15" s="3"/>
      <c r="D15" s="2"/>
      <c r="E15" s="2"/>
    </row>
    <row r="16" spans="1:5">
      <c r="A16" s="2"/>
      <c r="B16" s="9"/>
      <c r="C16" s="9"/>
      <c r="D16" s="10"/>
      <c r="E16" s="10"/>
    </row>
    <row r="17" spans="1:5">
      <c r="A17" s="2"/>
      <c r="B17" s="534" t="s">
        <v>646</v>
      </c>
      <c r="C17" s="535"/>
      <c r="D17" s="535"/>
      <c r="E17" s="536"/>
    </row>
    <row r="18" spans="1:5">
      <c r="A18" s="2"/>
      <c r="B18" s="537"/>
      <c r="C18" s="538"/>
      <c r="D18" s="538"/>
      <c r="E18" s="539"/>
    </row>
    <row r="19" spans="1:5">
      <c r="A19" s="2"/>
      <c r="B19" s="537"/>
      <c r="C19" s="538"/>
      <c r="D19" s="538"/>
      <c r="E19" s="539"/>
    </row>
    <row r="20" spans="1:5">
      <c r="A20" s="2"/>
      <c r="B20" s="540"/>
      <c r="C20" s="541"/>
      <c r="D20" s="541"/>
      <c r="E20" s="542"/>
    </row>
  </sheetData>
  <mergeCells count="10">
    <mergeCell ref="B17:E20"/>
    <mergeCell ref="B2:E2"/>
    <mergeCell ref="B3:E3"/>
    <mergeCell ref="D14:E14"/>
    <mergeCell ref="C5:C6"/>
    <mergeCell ref="C7:C8"/>
    <mergeCell ref="C9:C10"/>
    <mergeCell ref="C11:C13"/>
    <mergeCell ref="D8:D10"/>
    <mergeCell ref="D11:D13"/>
  </mergeCells>
  <phoneticPr fontId="2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2</vt:i4>
      </vt:variant>
    </vt:vector>
  </HeadingPairs>
  <TitlesOfParts>
    <vt:vector size="13" baseType="lpstr">
      <vt:lpstr>算分</vt:lpstr>
      <vt:lpstr>AP</vt:lpstr>
      <vt:lpstr>更改控制页 </vt:lpstr>
      <vt:lpstr>P图-0530</vt:lpstr>
      <vt:lpstr>DFMEA-0530</vt:lpstr>
      <vt:lpstr>边界图</vt:lpstr>
      <vt:lpstr>P图</vt:lpstr>
      <vt:lpstr>DFMEA</vt:lpstr>
      <vt:lpstr>严重度S</vt:lpstr>
      <vt:lpstr>频度O</vt:lpstr>
      <vt:lpstr>探测度D</vt:lpstr>
      <vt:lpstr>'更改控制页 '!Print_Area</vt:lpstr>
      <vt:lpstr>算分!Print_Titles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林小明</dc:creator>
  <cp:lastModifiedBy>博强 梁</cp:lastModifiedBy>
  <cp:lastPrinted>2022-06-01T06:04:35Z</cp:lastPrinted>
  <dcterms:created xsi:type="dcterms:W3CDTF">2006-09-16T00:00:00Z</dcterms:created>
  <dcterms:modified xsi:type="dcterms:W3CDTF">2026-06-14T01:33:04Z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C5E0B64D4C414344BAA42F2FE861156F_13</vt:lpwstr>
  </property>
</Properties>
</file>